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anislauce\Desktop\"/>
    </mc:Choice>
  </mc:AlternateContent>
  <bookViews>
    <workbookView xWindow="0" yWindow="0" windowWidth="15345" windowHeight="4470"/>
  </bookViews>
  <sheets>
    <sheet name="Dashboard" sheetId="1" r:id="rId1"/>
    <sheet name="Data" sheetId="2" r:id="rId2"/>
    <sheet name="Settings" sheetId="3" r:id="rId3"/>
    <sheet name="Calc" sheetId="4" r:id="rId4"/>
    <sheet name="Guide" sheetId="5" r:id="rId5"/>
  </sheets>
  <definedNames>
    <definedName name="d_Age">Data!$B$2:$B$5000</definedName>
    <definedName name="d_Att">Data!$H$2:$H$5000</definedName>
    <definedName name="d_Dept">Data!$C$2:$C$5000</definedName>
    <definedName name="d_ID">Data!$A$2:$A$5000</definedName>
    <definedName name="d_Prom">Data!$G$2:$G$5000</definedName>
    <definedName name="d_Sal">Data!$D$2:$D$5000</definedName>
    <definedName name="d_Sat">Data!$F$2:$F$5000</definedName>
    <definedName name="d_Ten">Data!$E$2:$E$5000</definedName>
    <definedName name="DeptList">OFFSET(Settings!$B$6,0,0,1+COUNTA(Settings!$B$7:$B$14),1)</definedName>
    <definedName name="fDept">Calc!$C$3</definedName>
    <definedName name="FiltersOn">Calc!$C$8</definedName>
    <definedName name="fPromHi">Calc!$C$7</definedName>
    <definedName name="fPromLo">Calc!$C$6</definedName>
    <definedName name="fSatHi">Calc!$C$5</definedName>
    <definedName name="fSatLo">Calc!$C$4</definedName>
    <definedName name="_xlnm.Print_Area" localSheetId="0">Dashboard!$A$1:$Z$121</definedName>
    <definedName name="PromList">Settings!$F$6:$F$8</definedName>
    <definedName name="SatLevels">Settings!$D$7:$D$10</definedName>
    <definedName name="SatList">Settings!$D$6:$D$10</definedName>
    <definedName name="TargetAttr">Settings!$C$18</definedName>
  </definedNames>
  <calcPr calcId="162913"/>
</workbook>
</file>

<file path=xl/calcChain.xml><?xml version="1.0" encoding="utf-8"?>
<calcChain xmlns="http://schemas.openxmlformats.org/spreadsheetml/2006/main">
  <c r="F96" i="4" l="1"/>
  <c r="E96" i="4"/>
  <c r="W41" i="1" s="1"/>
  <c r="D96" i="4"/>
  <c r="C96" i="4"/>
  <c r="U41" i="1" s="1"/>
  <c r="D79" i="4"/>
  <c r="C79" i="4"/>
  <c r="D78" i="4"/>
  <c r="C78" i="4"/>
  <c r="D77" i="4"/>
  <c r="C77" i="4"/>
  <c r="D76" i="4"/>
  <c r="C76" i="4"/>
  <c r="D75" i="4"/>
  <c r="C75" i="4"/>
  <c r="D70" i="4"/>
  <c r="C70" i="4"/>
  <c r="D69" i="4"/>
  <c r="C69" i="4"/>
  <c r="D68" i="4"/>
  <c r="C68" i="4"/>
  <c r="D67" i="4"/>
  <c r="C67" i="4"/>
  <c r="D62" i="4"/>
  <c r="C62" i="4"/>
  <c r="D61" i="4"/>
  <c r="C61" i="4"/>
  <c r="D60" i="4"/>
  <c r="C60" i="4"/>
  <c r="D59" i="4"/>
  <c r="C59" i="4"/>
  <c r="D58" i="4"/>
  <c r="C58" i="4"/>
  <c r="B53" i="4"/>
  <c r="B52" i="4"/>
  <c r="H52" i="4" s="1"/>
  <c r="B51" i="4"/>
  <c r="B50" i="4"/>
  <c r="H50" i="4" s="1"/>
  <c r="B32" i="4"/>
  <c r="B104" i="4" s="1"/>
  <c r="B31" i="4"/>
  <c r="B103" i="4" s="1"/>
  <c r="R48" i="1" s="1"/>
  <c r="B30" i="4"/>
  <c r="B102" i="4" s="1"/>
  <c r="B29" i="4"/>
  <c r="B101" i="4" s="1"/>
  <c r="R46" i="1" s="1"/>
  <c r="B28" i="4"/>
  <c r="B100" i="4" s="1"/>
  <c r="B27" i="4"/>
  <c r="B99" i="4" s="1"/>
  <c r="R44" i="1" s="1"/>
  <c r="B26" i="4"/>
  <c r="B98" i="4" s="1"/>
  <c r="B25" i="4"/>
  <c r="B97" i="4" s="1"/>
  <c r="R42" i="1" s="1"/>
  <c r="C18" i="4"/>
  <c r="C16" i="4"/>
  <c r="C15" i="4"/>
  <c r="C13" i="4"/>
  <c r="C14" i="4" s="1"/>
  <c r="C12" i="4"/>
  <c r="C17" i="4" s="1"/>
  <c r="C8" i="4"/>
  <c r="B12" i="1" s="1"/>
  <c r="C7" i="4"/>
  <c r="C6" i="4"/>
  <c r="C5" i="4"/>
  <c r="C4" i="4"/>
  <c r="C3" i="4"/>
  <c r="C27" i="3"/>
  <c r="D27" i="3" s="1"/>
  <c r="C26" i="3"/>
  <c r="D26" i="3" s="1"/>
  <c r="C25" i="3"/>
  <c r="D25" i="3" s="1"/>
  <c r="C24" i="3"/>
  <c r="D24" i="3" s="1"/>
  <c r="C22" i="3"/>
  <c r="P10" i="3"/>
  <c r="B79" i="4" s="1"/>
  <c r="H10" i="3"/>
  <c r="B62" i="4" s="1"/>
  <c r="P9" i="3"/>
  <c r="B78" i="4" s="1"/>
  <c r="L9" i="3"/>
  <c r="B70" i="4" s="1"/>
  <c r="H9" i="3"/>
  <c r="B61" i="4" s="1"/>
  <c r="P8" i="3"/>
  <c r="B77" i="4" s="1"/>
  <c r="L8" i="3"/>
  <c r="B69" i="4" s="1"/>
  <c r="H8" i="3"/>
  <c r="B60" i="4" s="1"/>
  <c r="P7" i="3"/>
  <c r="B76" i="4" s="1"/>
  <c r="L7" i="3"/>
  <c r="B68" i="4" s="1"/>
  <c r="H7" i="3"/>
  <c r="B59" i="4" s="1"/>
  <c r="P6" i="3"/>
  <c r="B75" i="4" s="1"/>
  <c r="L6" i="3"/>
  <c r="B67" i="4" s="1"/>
  <c r="H6" i="3"/>
  <c r="B58" i="4" s="1"/>
  <c r="B118" i="1"/>
  <c r="B117" i="1"/>
  <c r="B115" i="1"/>
  <c r="B113" i="1"/>
  <c r="B111" i="1"/>
  <c r="R49" i="1"/>
  <c r="R47" i="1"/>
  <c r="R45" i="1"/>
  <c r="R43" i="1"/>
  <c r="X41" i="1"/>
  <c r="V41" i="1"/>
  <c r="R12" i="1"/>
  <c r="G31" i="4" l="1"/>
  <c r="Q116" i="1" s="1"/>
  <c r="B110" i="1"/>
  <c r="B112" i="1"/>
  <c r="B114" i="1"/>
  <c r="B116" i="1"/>
  <c r="C31" i="4"/>
  <c r="E116" i="1" s="1"/>
  <c r="C30" i="4"/>
  <c r="E115" i="1" s="1"/>
  <c r="G30" i="4"/>
  <c r="Q115" i="1" s="1"/>
  <c r="K30" i="4"/>
  <c r="E31" i="4"/>
  <c r="K116" i="1" s="1"/>
  <c r="I31" i="4"/>
  <c r="W116" i="1" s="1"/>
  <c r="M31" i="4"/>
  <c r="C32" i="4"/>
  <c r="E117" i="1" s="1"/>
  <c r="G32" i="4"/>
  <c r="Q117" i="1" s="1"/>
  <c r="K32" i="4"/>
  <c r="E30" i="4"/>
  <c r="K115" i="1" s="1"/>
  <c r="I30" i="4"/>
  <c r="W115" i="1" s="1"/>
  <c r="M30" i="4"/>
  <c r="K31" i="4"/>
  <c r="E32" i="4"/>
  <c r="K117" i="1" s="1"/>
  <c r="I32" i="4"/>
  <c r="W117" i="1" s="1"/>
  <c r="M32" i="4"/>
  <c r="G91" i="4"/>
  <c r="E91" i="4"/>
  <c r="H90" i="4"/>
  <c r="D90" i="4"/>
  <c r="F85" i="4"/>
  <c r="D85" i="4"/>
  <c r="F84" i="4"/>
  <c r="D84" i="4"/>
  <c r="H91" i="4"/>
  <c r="D91" i="4"/>
  <c r="G90" i="4"/>
  <c r="E90" i="4"/>
  <c r="F90" i="4" s="1"/>
  <c r="G85" i="4"/>
  <c r="E85" i="4"/>
  <c r="N12" i="1" s="1"/>
  <c r="G84" i="4"/>
  <c r="E84" i="4"/>
  <c r="C52" i="4"/>
  <c r="C50" i="4"/>
  <c r="G50" i="4" s="1"/>
  <c r="D18" i="4"/>
  <c r="D16" i="4"/>
  <c r="R10" i="1" s="1"/>
  <c r="I33" i="4"/>
  <c r="W118" i="1" s="1"/>
  <c r="G33" i="4"/>
  <c r="Q118" i="1" s="1"/>
  <c r="C33" i="4"/>
  <c r="E118" i="1" s="1"/>
  <c r="H33" i="4"/>
  <c r="T118" i="1" s="1"/>
  <c r="F33" i="4"/>
  <c r="N118" i="1" s="1"/>
  <c r="D33" i="4"/>
  <c r="I29" i="4"/>
  <c r="W114" i="1" s="1"/>
  <c r="G29" i="4"/>
  <c r="Q114" i="1" s="1"/>
  <c r="C29" i="4"/>
  <c r="E114" i="1" s="1"/>
  <c r="I28" i="4"/>
  <c r="W113" i="1" s="1"/>
  <c r="G28" i="4"/>
  <c r="Q113" i="1" s="1"/>
  <c r="C28" i="4"/>
  <c r="E113" i="1" s="1"/>
  <c r="I27" i="4"/>
  <c r="W112" i="1" s="1"/>
  <c r="G27" i="4"/>
  <c r="Q112" i="1" s="1"/>
  <c r="C27" i="4"/>
  <c r="E112" i="1" s="1"/>
  <c r="I26" i="4"/>
  <c r="W111" i="1" s="1"/>
  <c r="G26" i="4"/>
  <c r="Q111" i="1" s="1"/>
  <c r="C26" i="4"/>
  <c r="E111" i="1" s="1"/>
  <c r="I25" i="4"/>
  <c r="W110" i="1" s="1"/>
  <c r="G25" i="4"/>
  <c r="Q110" i="1" s="1"/>
  <c r="C25" i="4"/>
  <c r="E110" i="1" s="1"/>
  <c r="D12" i="4"/>
  <c r="D17" i="4" s="1"/>
  <c r="D13" i="4"/>
  <c r="D15" i="4"/>
  <c r="N10" i="1" s="1"/>
  <c r="C34" i="4"/>
  <c r="H58" i="4"/>
  <c r="H59" i="4"/>
  <c r="H60" i="4"/>
  <c r="H61" i="4"/>
  <c r="H62" i="4"/>
  <c r="H67" i="4"/>
  <c r="E68" i="4"/>
  <c r="H69" i="4"/>
  <c r="E70" i="4"/>
  <c r="F75" i="4"/>
  <c r="F76" i="4"/>
  <c r="F77" i="4"/>
  <c r="F78" i="4"/>
  <c r="F79" i="4"/>
  <c r="F97" i="4"/>
  <c r="X42" i="1" s="1"/>
  <c r="D97" i="4"/>
  <c r="V42" i="1" s="1"/>
  <c r="G97" i="4"/>
  <c r="Y42" i="1" s="1"/>
  <c r="E97" i="4"/>
  <c r="W42" i="1" s="1"/>
  <c r="C97" i="4"/>
  <c r="U42" i="1" s="1"/>
  <c r="D25" i="4"/>
  <c r="F25" i="4"/>
  <c r="N110" i="1" s="1"/>
  <c r="H25" i="4"/>
  <c r="J25" i="4"/>
  <c r="F98" i="4"/>
  <c r="X43" i="1" s="1"/>
  <c r="D98" i="4"/>
  <c r="V43" i="1" s="1"/>
  <c r="G98" i="4"/>
  <c r="Y43" i="1" s="1"/>
  <c r="E98" i="4"/>
  <c r="W43" i="1" s="1"/>
  <c r="C98" i="4"/>
  <c r="U43" i="1" s="1"/>
  <c r="D26" i="4"/>
  <c r="F26" i="4"/>
  <c r="N111" i="1" s="1"/>
  <c r="H26" i="4"/>
  <c r="J26" i="4"/>
  <c r="L26" i="4"/>
  <c r="F99" i="4"/>
  <c r="X44" i="1" s="1"/>
  <c r="D99" i="4"/>
  <c r="V44" i="1" s="1"/>
  <c r="G99" i="4"/>
  <c r="Y44" i="1" s="1"/>
  <c r="E99" i="4"/>
  <c r="W44" i="1" s="1"/>
  <c r="C99" i="4"/>
  <c r="U44" i="1" s="1"/>
  <c r="D27" i="4"/>
  <c r="F27" i="4"/>
  <c r="N112" i="1" s="1"/>
  <c r="H27" i="4"/>
  <c r="J27" i="4"/>
  <c r="L27" i="4"/>
  <c r="F100" i="4"/>
  <c r="X45" i="1" s="1"/>
  <c r="D100" i="4"/>
  <c r="V45" i="1" s="1"/>
  <c r="G100" i="4"/>
  <c r="Y45" i="1" s="1"/>
  <c r="E100" i="4"/>
  <c r="W45" i="1" s="1"/>
  <c r="C100" i="4"/>
  <c r="U45" i="1" s="1"/>
  <c r="D28" i="4"/>
  <c r="F28" i="4"/>
  <c r="N113" i="1" s="1"/>
  <c r="H28" i="4"/>
  <c r="J28" i="4"/>
  <c r="F101" i="4"/>
  <c r="X46" i="1" s="1"/>
  <c r="D101" i="4"/>
  <c r="V46" i="1" s="1"/>
  <c r="G101" i="4"/>
  <c r="Y46" i="1" s="1"/>
  <c r="E101" i="4"/>
  <c r="W46" i="1" s="1"/>
  <c r="C101" i="4"/>
  <c r="U46" i="1" s="1"/>
  <c r="D29" i="4"/>
  <c r="F29" i="4"/>
  <c r="N114" i="1" s="1"/>
  <c r="H29" i="4"/>
  <c r="J29" i="4"/>
  <c r="F102" i="4"/>
  <c r="X47" i="1" s="1"/>
  <c r="D102" i="4"/>
  <c r="V47" i="1" s="1"/>
  <c r="G102" i="4"/>
  <c r="Y47" i="1" s="1"/>
  <c r="E102" i="4"/>
  <c r="W47" i="1" s="1"/>
  <c r="C102" i="4"/>
  <c r="U47" i="1" s="1"/>
  <c r="D30" i="4"/>
  <c r="H115" i="1" s="1"/>
  <c r="F30" i="4"/>
  <c r="N115" i="1" s="1"/>
  <c r="H30" i="4"/>
  <c r="T115" i="1" s="1"/>
  <c r="J30" i="4"/>
  <c r="L30" i="4"/>
  <c r="F103" i="4"/>
  <c r="X48" i="1" s="1"/>
  <c r="D103" i="4"/>
  <c r="V48" i="1" s="1"/>
  <c r="G103" i="4"/>
  <c r="Y48" i="1" s="1"/>
  <c r="E103" i="4"/>
  <c r="W48" i="1" s="1"/>
  <c r="C103" i="4"/>
  <c r="U48" i="1" s="1"/>
  <c r="D31" i="4"/>
  <c r="H116" i="1" s="1"/>
  <c r="F31" i="4"/>
  <c r="N116" i="1" s="1"/>
  <c r="H31" i="4"/>
  <c r="T116" i="1" s="1"/>
  <c r="J31" i="4"/>
  <c r="L31" i="4"/>
  <c r="F104" i="4"/>
  <c r="X49" i="1" s="1"/>
  <c r="D104" i="4"/>
  <c r="V49" i="1" s="1"/>
  <c r="G104" i="4"/>
  <c r="Y49" i="1" s="1"/>
  <c r="E104" i="4"/>
  <c r="W49" i="1" s="1"/>
  <c r="C104" i="4"/>
  <c r="U49" i="1" s="1"/>
  <c r="D32" i="4"/>
  <c r="H117" i="1" s="1"/>
  <c r="F32" i="4"/>
  <c r="N117" i="1" s="1"/>
  <c r="H32" i="4"/>
  <c r="T117" i="1" s="1"/>
  <c r="J32" i="4"/>
  <c r="L32" i="4"/>
  <c r="D51" i="4"/>
  <c r="F51" i="4"/>
  <c r="H51" i="4"/>
  <c r="G52" i="4"/>
  <c r="D53" i="4"/>
  <c r="F53" i="4"/>
  <c r="H53" i="4"/>
  <c r="E58" i="4"/>
  <c r="I58" i="4" s="1"/>
  <c r="E59" i="4"/>
  <c r="I59" i="4" s="1"/>
  <c r="E60" i="4"/>
  <c r="I60" i="4" s="1"/>
  <c r="E61" i="4"/>
  <c r="I61" i="4" s="1"/>
  <c r="E62" i="4"/>
  <c r="I62" i="4" s="1"/>
  <c r="E67" i="4"/>
  <c r="F68" i="4"/>
  <c r="G68" i="4" s="1"/>
  <c r="H68" i="4"/>
  <c r="E69" i="4"/>
  <c r="F70" i="4"/>
  <c r="H70" i="4"/>
  <c r="E75" i="4"/>
  <c r="E76" i="4"/>
  <c r="E77" i="4"/>
  <c r="E78" i="4"/>
  <c r="E79" i="4"/>
  <c r="D50" i="4"/>
  <c r="E50" i="4" s="1"/>
  <c r="F50" i="4"/>
  <c r="C51" i="4"/>
  <c r="G51" i="4" s="1"/>
  <c r="D52" i="4"/>
  <c r="E52" i="4" s="1"/>
  <c r="F52" i="4"/>
  <c r="C53" i="4"/>
  <c r="G53" i="4" s="1"/>
  <c r="F58" i="4"/>
  <c r="F59" i="4"/>
  <c r="G59" i="4" s="1"/>
  <c r="F60" i="4"/>
  <c r="F61" i="4"/>
  <c r="G61" i="4" s="1"/>
  <c r="F62" i="4"/>
  <c r="F67" i="4"/>
  <c r="G67" i="4" s="1"/>
  <c r="F69" i="4"/>
  <c r="G69" i="4" s="1"/>
  <c r="G62" i="4" l="1"/>
  <c r="G60" i="4"/>
  <c r="G58" i="4"/>
  <c r="G70" i="4"/>
  <c r="L29" i="4"/>
  <c r="L28" i="4"/>
  <c r="E53" i="4"/>
  <c r="V12" i="1"/>
  <c r="V10" i="1"/>
  <c r="L25" i="4"/>
  <c r="G39" i="4" s="1"/>
  <c r="M25" i="4"/>
  <c r="T110" i="1"/>
  <c r="E25" i="4"/>
  <c r="H110" i="1"/>
  <c r="G79" i="4"/>
  <c r="G77" i="4"/>
  <c r="G75" i="4"/>
  <c r="K45" i="4"/>
  <c r="G45" i="4"/>
  <c r="K44" i="4"/>
  <c r="C44" i="4"/>
  <c r="G43" i="4"/>
  <c r="C45" i="4"/>
  <c r="G44" i="4"/>
  <c r="D14" i="4"/>
  <c r="B108" i="4" s="1"/>
  <c r="B15" i="1" s="1"/>
  <c r="F10" i="1"/>
  <c r="B110" i="4"/>
  <c r="B17" i="1" s="1"/>
  <c r="B111" i="4"/>
  <c r="B18" i="1" s="1"/>
  <c r="F91" i="4"/>
  <c r="B112" i="4" s="1"/>
  <c r="B19" i="1" s="1"/>
  <c r="E51" i="4"/>
  <c r="M29" i="4"/>
  <c r="T114" i="1"/>
  <c r="E29" i="4"/>
  <c r="H114" i="1"/>
  <c r="M28" i="4"/>
  <c r="T113" i="1"/>
  <c r="E28" i="4"/>
  <c r="H113" i="1"/>
  <c r="M27" i="4"/>
  <c r="T112" i="1"/>
  <c r="E27" i="4"/>
  <c r="H112" i="1"/>
  <c r="M26" i="4"/>
  <c r="K42" i="4" s="1"/>
  <c r="T111" i="1"/>
  <c r="E26" i="4"/>
  <c r="H111" i="1"/>
  <c r="C23" i="3"/>
  <c r="G78" i="4"/>
  <c r="G76" i="4"/>
  <c r="B10" i="1"/>
  <c r="F12" i="1"/>
  <c r="E33" i="4"/>
  <c r="K118" i="1" s="1"/>
  <c r="H118" i="1"/>
  <c r="K43" i="4" l="1"/>
  <c r="G40" i="4"/>
  <c r="G41" i="4"/>
  <c r="G38" i="4"/>
  <c r="H38" i="4" s="1"/>
  <c r="G42" i="4"/>
  <c r="H42" i="4" s="1"/>
  <c r="K40" i="4"/>
  <c r="M40" i="4" s="1"/>
  <c r="M42" i="4"/>
  <c r="L42" i="4"/>
  <c r="D23" i="3"/>
  <c r="C28" i="3"/>
  <c r="K26" i="4"/>
  <c r="K111" i="1"/>
  <c r="K27" i="4"/>
  <c r="K112" i="1"/>
  <c r="K28" i="4"/>
  <c r="K113" i="1"/>
  <c r="K29" i="4"/>
  <c r="K114" i="1"/>
  <c r="I38" i="4"/>
  <c r="K39" i="4"/>
  <c r="I42" i="4"/>
  <c r="L43" i="4"/>
  <c r="M43" i="4"/>
  <c r="D45" i="4"/>
  <c r="E45" i="4"/>
  <c r="K38" i="4"/>
  <c r="I41" i="4"/>
  <c r="H41" i="4"/>
  <c r="E44" i="4"/>
  <c r="D44" i="4"/>
  <c r="I45" i="4"/>
  <c r="H45" i="4"/>
  <c r="K25" i="4"/>
  <c r="C43" i="4" s="1"/>
  <c r="D43" i="4" s="1"/>
  <c r="K110" i="1"/>
  <c r="J12" i="1"/>
  <c r="J10" i="1"/>
  <c r="H40" i="4"/>
  <c r="I40" i="4"/>
  <c r="K41" i="4"/>
  <c r="H44" i="4"/>
  <c r="I44" i="4"/>
  <c r="I39" i="4"/>
  <c r="H39" i="4"/>
  <c r="I43" i="4"/>
  <c r="H43" i="4"/>
  <c r="M44" i="4"/>
  <c r="L44" i="4"/>
  <c r="L45" i="4"/>
  <c r="M45" i="4"/>
  <c r="E43" i="4" l="1"/>
  <c r="L40" i="4"/>
  <c r="M38" i="4"/>
  <c r="L38" i="4"/>
  <c r="D28" i="3"/>
  <c r="R2" i="1"/>
  <c r="L41" i="4"/>
  <c r="M41" i="4"/>
  <c r="C42" i="4"/>
  <c r="C38" i="4"/>
  <c r="C39" i="4"/>
  <c r="C40" i="4"/>
  <c r="C41" i="4"/>
  <c r="L39" i="4"/>
  <c r="M39" i="4"/>
  <c r="E40" i="4" l="1"/>
  <c r="D40" i="4"/>
  <c r="E38" i="4"/>
  <c r="D38" i="4"/>
  <c r="D41" i="4"/>
  <c r="E41" i="4"/>
  <c r="D39" i="4"/>
  <c r="E39" i="4"/>
  <c r="E42" i="4"/>
  <c r="D42" i="4"/>
  <c r="B109" i="4" l="1"/>
  <c r="B16" i="1" s="1"/>
</calcChain>
</file>

<file path=xl/sharedStrings.xml><?xml version="1.0" encoding="utf-8"?>
<sst xmlns="http://schemas.openxmlformats.org/spreadsheetml/2006/main" count="2625" uniqueCount="962">
  <si>
    <t>HR WORKFORCE ANALYTICS</t>
  </si>
  <si>
    <t>Attrition  ·  Compensation  ·  Career growth     |     Fully live: edit the Data sheet or use the filters below</t>
  </si>
  <si>
    <t>DEPARTMENT</t>
  </si>
  <si>
    <t>JOB SATISFACTION</t>
  </si>
  <si>
    <t>PROMOTED (LAST 5 YRS)</t>
  </si>
  <si>
    <t>▼ Pick from the dropdowns — every KPI, chart and insight updates instantly. Choose “All” to reset.</t>
  </si>
  <si>
    <t>All</t>
  </si>
  <si>
    <t>HEADCOUNT</t>
  </si>
  <si>
    <t>EMPLOYEES LEFT</t>
  </si>
  <si>
    <t>ATTRITION RATE</t>
  </si>
  <si>
    <t>AVERAGE SALARY</t>
  </si>
  <si>
    <t>PROMOTION RATE</t>
  </si>
  <si>
    <t>KEY INSIGHTS  ·  generated automatically from the current selection</t>
  </si>
  <si>
    <t>1  ·  ATTRITION ANALYSIS</t>
  </si>
  <si>
    <t>Attrition rate by department</t>
  </si>
  <si>
    <t>Employees who left, by job satisfaction</t>
  </si>
  <si>
    <t>Attrition rate by tenure</t>
  </si>
  <si>
    <t>Ranked high to low · department filter ignored</t>
  </si>
  <si>
    <t>Headcount that left at each rating</t>
  </si>
  <si>
    <t>Share of each tenure band that left</t>
  </si>
  <si>
    <t>Attrition rate by age band</t>
  </si>
  <si>
    <t>Workforce retention split</t>
  </si>
  <si>
    <t>Attrition heatmap</t>
  </si>
  <si>
    <t>Share of each age band that left</t>
  </si>
  <si>
    <t>Stayed vs left (current selection)</t>
  </si>
  <si>
    <t>Department × job satisfaction · darker red = higher attrition</t>
  </si>
  <si>
    <t>Department</t>
  </si>
  <si>
    <t>All levels</t>
  </si>
  <si>
    <t>Tip: use the Promoted filter to see whether career progression changes the pattern.</t>
  </si>
  <si>
    <t>2  ·  COMPENSATION &amp; ATTRITION</t>
  </si>
  <si>
    <t>Average salary: stayed vs left</t>
  </si>
  <si>
    <t>Average salary by department</t>
  </si>
  <si>
    <t>Attrition rate by salary band</t>
  </si>
  <si>
    <t>Is pay different for people who leave?</t>
  </si>
  <si>
    <t>Share of each pay band that left</t>
  </si>
  <si>
    <t>Average salary by job satisfaction</t>
  </si>
  <si>
    <t>Average salary by tenure</t>
  </si>
  <si>
    <t>Average salary by age band</t>
  </si>
  <si>
    <t>Do happier employees earn more?</t>
  </si>
  <si>
    <t>Pay progression with time at the company</t>
  </si>
  <si>
    <t>Pay across age groups</t>
  </si>
  <si>
    <t>3  ·  PROMOTION &amp; CAREER GROWTH</t>
  </si>
  <si>
    <t>Attrition: promoted vs not promoted</t>
  </si>
  <si>
    <t>Promotion rate by department</t>
  </si>
  <si>
    <t>Promotion rate by tenure</t>
  </si>
  <si>
    <t>Promotion in the last 5 years (promotion filter ignored)</t>
  </si>
  <si>
    <t>Are long-serving staff being promoted?</t>
  </si>
  <si>
    <t>DEPARTMENT SCORECARD  ·  highlights the department selected above</t>
  </si>
  <si>
    <t>Headcount</t>
  </si>
  <si>
    <t>Left</t>
  </si>
  <si>
    <t>Attrition %</t>
  </si>
  <si>
    <t>Avg salary</t>
  </si>
  <si>
    <t>Avg satisfaction</t>
  </si>
  <si>
    <t>Promotion %</t>
  </si>
  <si>
    <t>Avg tenure (yrs)</t>
  </si>
  <si>
    <t>Notes: Department charts and the scorecard always show every department (they ignore the Department filter) but respect the other two filters. Attrition rate = employees who left ÷ headcount. All figures are live formulas over the Data sheet (rows 2–5,000). Targets and bands are editable on the Settings sheet.</t>
  </si>
  <si>
    <t>EmployeeID</t>
  </si>
  <si>
    <t>Age</t>
  </si>
  <si>
    <t>Salary</t>
  </si>
  <si>
    <t>Years At Company</t>
  </si>
  <si>
    <t>Job Satisfaction</t>
  </si>
  <si>
    <t>Promotion Last 5Years</t>
  </si>
  <si>
    <t>Attrition</t>
  </si>
  <si>
    <t>EMP1000</t>
  </si>
  <si>
    <t>IT</t>
  </si>
  <si>
    <t>No</t>
  </si>
  <si>
    <t>EMP1001</t>
  </si>
  <si>
    <t>HR</t>
  </si>
  <si>
    <t>Yes</t>
  </si>
  <si>
    <t>EMP1002</t>
  </si>
  <si>
    <t>Operations</t>
  </si>
  <si>
    <t>EMP1003</t>
  </si>
  <si>
    <t>EMP1004</t>
  </si>
  <si>
    <t>EMP1005</t>
  </si>
  <si>
    <t>EMP1006</t>
  </si>
  <si>
    <t>EMP1007</t>
  </si>
  <si>
    <t>EMP1008</t>
  </si>
  <si>
    <t>EMP1009</t>
  </si>
  <si>
    <t>Sales</t>
  </si>
  <si>
    <t>EMP1010</t>
  </si>
  <si>
    <t>EMP1011</t>
  </si>
  <si>
    <t>EMP1012</t>
  </si>
  <si>
    <t>EMP1013</t>
  </si>
  <si>
    <t>Finance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</si>
  <si>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</si>
  <si>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</si>
  <si>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</si>
  <si>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</si>
  <si>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</si>
  <si>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</si>
  <si>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</si>
  <si>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</si>
  <si>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</si>
  <si>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</si>
  <si>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</si>
  <si>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</si>
  <si>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</si>
  <si>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</si>
  <si>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</si>
  <si>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</si>
  <si>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</si>
  <si>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</si>
  <si>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</si>
  <si>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</si>
  <si>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</si>
  <si>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</si>
  <si>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</si>
  <si>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</si>
  <si>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</si>
  <si>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</si>
  <si>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</si>
  <si>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</si>
  <si>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</si>
  <si>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</si>
  <si>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</si>
  <si>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</si>
  <si>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</si>
  <si>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</si>
  <si>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</si>
  <si>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</si>
  <si>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</si>
  <si>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</si>
  <si>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</si>
  <si>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</si>
  <si>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</si>
  <si>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</si>
  <si>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</si>
  <si>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</si>
  <si>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</si>
  <si>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</si>
  <si>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</si>
  <si>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</si>
  <si>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</si>
  <si>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</si>
  <si>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</si>
  <si>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</si>
  <si>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</si>
  <si>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</si>
  <si>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</si>
  <si>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</si>
  <si>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</si>
  <si>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</si>
  <si>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</si>
  <si>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</si>
  <si>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</si>
  <si>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</si>
  <si>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</si>
  <si>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</si>
  <si>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</si>
  <si>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</si>
  <si>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</si>
  <si>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</si>
  <si>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</si>
  <si>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</si>
  <si>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</si>
  <si>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</si>
  <si>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</si>
  <si>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</si>
  <si>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</si>
  <si>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</si>
  <si>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</si>
  <si>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</si>
  <si>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</si>
  <si>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</si>
  <si>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</si>
  <si>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</si>
  <si>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</si>
  <si>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</si>
  <si>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</si>
  <si>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</si>
  <si>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</si>
  <si>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</si>
  <si>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</si>
  <si>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</si>
  <si>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</si>
  <si>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</si>
  <si>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</si>
  <si>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</si>
  <si>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</si>
  <si>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</si>
  <si>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</si>
  <si>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</si>
  <si>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</si>
  <si>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</si>
  <si>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</si>
  <si>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</si>
  <si>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</si>
  <si>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</si>
  <si>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</si>
  <si>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</si>
  <si>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</si>
  <si>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</si>
  <si>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</si>
  <si>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</si>
  <si>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</si>
  <si>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</si>
  <si>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</si>
  <si>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</si>
  <si>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</si>
  <si>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</si>
  <si>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</si>
  <si>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</si>
  <si>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</si>
  <si>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</si>
  <si>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</si>
  <si>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</si>
  <si>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</si>
  <si>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</si>
  <si>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</si>
  <si>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</si>
  <si>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</si>
  <si>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</si>
  <si>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</si>
  <si>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</si>
  <si>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</si>
  <si>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</si>
  <si>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</si>
  <si>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</si>
  <si>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</si>
  <si>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</si>
  <si>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</si>
  <si>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</si>
  <si>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</si>
  <si>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</si>
  <si>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</si>
  <si>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</si>
  <si>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</si>
  <si>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</si>
  <si>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</si>
  <si>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</si>
  <si>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</si>
  <si>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</si>
  <si>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</si>
  <si>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</si>
  <si>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</si>
  <si>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</si>
  <si>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</si>
  <si>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</si>
  <si>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</si>
  <si>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</si>
  <si>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</si>
  <si>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</si>
  <si>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</si>
  <si>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</si>
  <si>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</si>
  <si>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</si>
  <si>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</si>
  <si>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</si>
  <si>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</si>
  <si>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</si>
  <si>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</si>
  <si>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</si>
  <si>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</si>
  <si>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</si>
  <si>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</si>
  <si>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</si>
  <si>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</si>
  <si>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</si>
  <si>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</si>
  <si>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</si>
  <si>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</si>
  <si>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</si>
  <si>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</si>
  <si>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</si>
  <si>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</si>
  <si>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</si>
  <si>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</si>
  <si>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</si>
  <si>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</si>
  <si>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</si>
  <si>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</si>
  <si>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</si>
  <si>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</si>
  <si>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</si>
  <si>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</si>
  <si>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</si>
  <si>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</si>
  <si>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</si>
  <si>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</si>
  <si>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</si>
  <si>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</si>
  <si>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</si>
  <si>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</si>
  <si>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</si>
  <si>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</si>
  <si>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</si>
  <si>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</si>
  <si>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</si>
  <si>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</si>
  <si>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</si>
  <si>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</si>
  <si>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</si>
  <si>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</si>
  <si>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</si>
  <si>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</si>
  <si>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</si>
  <si>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</si>
  <si>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</si>
  <si>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</si>
  <si>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</si>
  <si>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</si>
  <si>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</si>
  <si>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</si>
  <si>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</si>
  <si>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</si>
  <si>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</si>
  <si>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</si>
  <si>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</si>
  <si>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</si>
  <si>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</si>
  <si>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</si>
  <si>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</si>
  <si>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</si>
  <si>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</si>
  <si>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</si>
  <si>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</si>
  <si>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</si>
  <si>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</si>
  <si>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</si>
  <si>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</si>
  <si>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</si>
  <si>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</si>
  <si>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</si>
  <si>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</si>
  <si>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</si>
  <si>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</si>
  <si>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</si>
  <si>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</si>
  <si>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</si>
  <si>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</si>
  <si>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</si>
  <si>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</si>
  <si>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</si>
  <si>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</si>
  <si>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</si>
  <si>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</si>
  <si>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</si>
  <si>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</si>
  <si>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</si>
  <si>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</si>
  <si>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</si>
  <si>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</si>
  <si>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</si>
  <si>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</si>
  <si>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</si>
  <si>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</si>
  <si>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</si>
  <si>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</si>
  <si>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</si>
  <si>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</si>
  <si>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</si>
  <si>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</si>
  <si>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</si>
  <si>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</si>
  <si>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</si>
  <si>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</si>
  <si>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</si>
  <si>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</si>
  <si>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</si>
  <si>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</si>
  <si>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</si>
  <si>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</si>
  <si>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</si>
  <si>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</si>
  <si>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</si>
  <si>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</si>
  <si>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</si>
  <si>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</si>
  <si>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</si>
  <si>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</si>
  <si>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</si>
  <si>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</si>
  <si>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</si>
  <si>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</si>
  <si>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</si>
  <si>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</si>
  <si>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</si>
  <si>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</si>
  <si>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</si>
  <si>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</si>
  <si>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</si>
  <si>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</si>
  <si>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</si>
  <si>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</si>
  <si>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</si>
  <si>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</si>
  <si>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</si>
  <si>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</si>
  <si>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</si>
  <si>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</si>
  <si>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</si>
  <si>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</si>
  <si>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</si>
  <si>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</si>
  <si>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</si>
  <si>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</si>
  <si>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</si>
  <si>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</si>
  <si>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</si>
  <si>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</si>
  <si>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</si>
  <si>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</si>
  <si>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</si>
  <si>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</si>
  <si>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</si>
  <si>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</si>
  <si>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</si>
  <si>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</si>
  <si>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</si>
  <si>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</si>
  <si>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</si>
  <si>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</si>
  <si>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</si>
  <si>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</si>
  <si>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</si>
  <si>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</si>
  <si>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</si>
  <si>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</si>
  <si>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</si>
  <si>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</si>
  <si>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</si>
  <si>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</si>
  <si>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</si>
  <si>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</si>
  <si>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</si>
  <si>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</si>
  <si>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</si>
  <si>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</si>
  <si>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</si>
  <si>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</si>
  <si>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</si>
  <si>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</si>
  <si>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</si>
  <si>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</si>
  <si>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</si>
  <si>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</si>
  <si>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</si>
  <si>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</si>
  <si>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</si>
  <si>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</si>
  <si>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</si>
  <si>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</si>
  <si>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</si>
  <si>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</si>
  <si>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</si>
  <si>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</si>
  <si>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</si>
  <si>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</si>
  <si>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</si>
  <si>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</si>
  <si>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</si>
  <si>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</si>
  <si>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</si>
  <si>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</si>
  <si>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</si>
  <si>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</si>
  <si>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</si>
  <si>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</si>
  <si>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</si>
  <si>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</si>
  <si>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</si>
  <si>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</si>
  <si>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</si>
  <si>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</si>
  <si>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</si>
  <si>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</si>
  <si>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</si>
  <si>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</si>
  <si>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</si>
  <si>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</si>
  <si>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</si>
  <si>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</si>
  <si>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</si>
  <si>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</si>
  <si>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</si>
  <si>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</si>
  <si>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</si>
  <si>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</si>
  <si>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</si>
  <si>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</si>
  <si>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</si>
  <si>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</si>
  <si>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</si>
  <si>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</si>
  <si>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</si>
  <si>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</si>
  <si>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</si>
  <si>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</si>
  <si>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</si>
  <si>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</si>
  <si>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</si>
  <si>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</si>
  <si>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</si>
  <si>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</si>
  <si>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</si>
  <si>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</si>
  <si>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</si>
  <si>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</si>
  <si>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</si>
  <si>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</si>
  <si>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</si>
  <si>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</si>
  <si>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</si>
  <si>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</si>
  <si>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</si>
  <si>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</si>
  <si>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</si>
  <si>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</si>
  <si>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</si>
  <si>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</si>
  <si>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</si>
  <si>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</si>
  <si>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</si>
  <si>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</si>
  <si>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</si>
  <si>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</si>
  <si>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</si>
  <si>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</si>
  <si>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</si>
  <si>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</si>
  <si>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</si>
  <si>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</si>
  <si>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</si>
  <si>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</si>
  <si>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</si>
  <si>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</si>
  <si>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</si>
  <si>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</si>
  <si>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</si>
  <si>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</si>
  <si>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</si>
  <si>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</si>
  <si>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</si>
  <si>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</si>
  <si>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</si>
  <si>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</si>
  <si>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</si>
  <si>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</si>
  <si>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</si>
  <si>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</si>
  <si>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</si>
  <si>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</si>
  <si>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</si>
  <si>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</si>
  <si>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</si>
  <si>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</si>
  <si>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</si>
  <si>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</si>
  <si>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</si>
  <si>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</si>
  <si>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</si>
  <si>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</si>
  <si>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</si>
  <si>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</si>
  <si>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</si>
  <si>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</si>
  <si>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</si>
  <si>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</si>
  <si>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</si>
  <si>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</si>
  <si>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</si>
  <si>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</si>
  <si>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</si>
  <si>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</si>
  <si>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</si>
  <si>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</si>
  <si>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</si>
  <si>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</si>
  <si>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</si>
  <si>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</si>
  <si>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</si>
  <si>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</si>
  <si>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</si>
  <si>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</si>
  <si>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</si>
  <si>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</si>
  <si>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</si>
  <si>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</si>
  <si>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</si>
  <si>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</si>
  <si>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</si>
  <si>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</si>
  <si>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</si>
  <si>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</si>
  <si>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</si>
  <si>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</si>
  <si>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</si>
  <si>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</si>
  <si>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</si>
  <si>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</si>
  <si>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</si>
  <si>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</si>
  <si>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</si>
  <si>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</si>
  <si>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</si>
  <si>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</si>
  <si>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</si>
  <si>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</si>
  <si>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</si>
  <si>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</si>
  <si>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</si>
  <si>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</si>
  <si>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</si>
  <si>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</si>
  <si>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</si>
  <si>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</si>
  <si>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</si>
  <si>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</si>
  <si>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</si>
  <si>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</si>
  <si>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</si>
  <si>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</si>
  <si>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</si>
  <si>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</si>
  <si>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</si>
  <si>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</si>
  <si>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</si>
  <si>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</si>
  <si>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</si>
  <si>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</si>
  <si>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</si>
  <si>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</si>
  <si>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</si>
  <si>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</si>
  <si>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</si>
  <si>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</si>
  <si>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</si>
  <si>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</si>
  <si>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</si>
  <si>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</si>
  <si>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</si>
  <si>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</si>
  <si>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</si>
  <si>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</si>
  <si>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</si>
  <si>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</si>
  <si>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</si>
  <si>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</si>
  <si>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</si>
  <si>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</si>
  <si>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</si>
  <si>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</si>
  <si>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</si>
  <si>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</si>
  <si>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</si>
  <si>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</si>
  <si>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</si>
  <si>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</si>
  <si>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</si>
  <si>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</si>
  <si>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</si>
  <si>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</si>
  <si>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</si>
  <si>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</si>
  <si>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</si>
  <si>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</si>
  <si>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</si>
  <si>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</si>
  <si>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</si>
  <si>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</si>
  <si>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</si>
  <si>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</si>
  <si>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</si>
  <si>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</si>
  <si>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</si>
  <si>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</si>
  <si>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</si>
  <si>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</si>
  <si>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</si>
  <si>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</si>
  <si>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</si>
  <si>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</si>
  <si>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</si>
  <si>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</si>
  <si>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</si>
  <si>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</si>
  <si>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</si>
  <si>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</si>
  <si>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</si>
  <si>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</si>
  <si>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</si>
  <si>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</si>
  <si>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</si>
  <si>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</si>
  <si>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</si>
  <si>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</si>
  <si>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</si>
  <si>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</si>
  <si>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</si>
  <si>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</si>
  <si>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</si>
  <si>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</si>
  <si>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</si>
  <si>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</si>
  <si>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</si>
  <si>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</si>
  <si>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</si>
  <si>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</si>
  <si>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</si>
  <si>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</si>
  <si>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</si>
  <si>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</si>
  <si>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</si>
  <si>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</si>
  <si>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</si>
  <si>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</si>
  <si>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</si>
  <si>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</si>
  <si>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</si>
  <si>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</si>
  <si>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</si>
  <si>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</si>
  <si>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</si>
  <si>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</si>
  <si>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</si>
  <si>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</si>
  <si>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</si>
  <si>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</si>
  <si>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</si>
  <si>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</si>
  <si>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</si>
  <si>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</si>
  <si>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</si>
  <si>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</si>
  <si>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</si>
  <si>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</si>
  <si>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</si>
  <si>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</si>
  <si>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</si>
  <si>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</si>
  <si>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</si>
  <si>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</si>
  <si>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</si>
  <si>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</si>
  <si>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</si>
  <si>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</si>
  <si>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</si>
  <si>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</si>
  <si>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</si>
  <si>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</si>
  <si>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</si>
  <si>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</si>
  <si>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</si>
  <si>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</si>
  <si>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</si>
  <si>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</si>
  <si>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</si>
  <si>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</si>
  <si>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</si>
  <si>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</si>
  <si>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</si>
  <si>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</si>
  <si>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</si>
  <si>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</si>
  <si>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</si>
  <si>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</si>
  <si>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</si>
  <si>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</si>
  <si>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</si>
  <si>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</si>
  <si>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</si>
  <si>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</si>
  <si>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</si>
  <si>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</si>
  <si>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</si>
  <si>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</si>
  <si>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</si>
  <si>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</si>
  <si>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</si>
  <si>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</si>
  <si>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</si>
  <si>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</si>
  <si>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</si>
  <si>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</si>
  <si>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</si>
  <si>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</si>
  <si>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</si>
  <si>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</si>
  <si>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</si>
  <si>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</si>
  <si>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</si>
  <si>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</si>
  <si>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</si>
  <si>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</si>
  <si>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</si>
  <si>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</si>
  <si>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</si>
  <si>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</si>
  <si>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</si>
  <si>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</si>
  <si>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</si>
  <si>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</si>
  <si>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</si>
  <si>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</si>
  <si>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</si>
  <si>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</si>
  <si>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</si>
  <si>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</si>
  <si>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</si>
  <si>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</si>
  <si>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</si>
  <si>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</si>
  <si>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</si>
  <si>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</si>
  <si>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</si>
  <si>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</si>
  <si>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</si>
  <si>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</si>
  <si>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</si>
  <si>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</si>
  <si>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</si>
  <si>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</si>
  <si>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</si>
  <si>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</si>
  <si>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</si>
  <si>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</si>
  <si>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</si>
  <si>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</si>
  <si>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</si>
  <si>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</si>
  <si>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</si>
  <si>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</si>
  <si>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</si>
  <si>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</si>
  <si>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</si>
  <si>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</si>
  <si>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</si>
  <si>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</si>
  <si>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</si>
  <si>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</si>
  <si>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</si>
  <si>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</si>
  <si>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</si>
  <si>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</si>
  <si>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</si>
  <si>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</si>
  <si>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</si>
  <si>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</si>
  <si>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</si>
  <si>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</si>
  <si>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</si>
  <si>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</si>
  <si>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</si>
  <si>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</si>
  <si>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</si>
  <si>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</si>
  <si>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</si>
  <si>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</si>
  <si>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</si>
  <si>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</si>
  <si>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</si>
  <si>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</si>
  <si>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</si>
  <si>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</si>
  <si>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</si>
  <si>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</si>
  <si>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</si>
  <si>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</si>
  <si>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</si>
  <si>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</si>
  <si>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</si>
  <si>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</si>
  <si>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</si>
  <si>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</si>
  <si>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</si>
  <si>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</si>
  <si>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</si>
  <si>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</si>
  <si>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</si>
  <si>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</si>
  <si>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Settings &amp; Data Quality</t>
  </si>
  <si>
    <t>Blue cells are inputs you can edit. Everything on the Dashboard recalculates from these and from the Data sheet.</t>
  </si>
  <si>
    <t>Departments</t>
  </si>
  <si>
    <t>Satisfaction</t>
  </si>
  <si>
    <t>Promotion filter</t>
  </si>
  <si>
    <t>Tenure band</t>
  </si>
  <si>
    <t>Min yrs</t>
  </si>
  <si>
    <t>Max yrs</t>
  </si>
  <si>
    <t>Age band</t>
  </si>
  <si>
    <t>Min</t>
  </si>
  <si>
    <t>Max</t>
  </si>
  <si>
    <t>Salary band</t>
  </si>
  <si>
    <t>Min $</t>
  </si>
  <si>
    <t>Max $</t>
  </si>
  <si>
    <t>Promoted</t>
  </si>
  <si>
    <t>Not promoted</t>
  </si>
  <si>
    <t>Targets &amp; assumptions</t>
  </si>
  <si>
    <t>Attrition target</t>
  </si>
  <si>
    <t>ASSUMPTION: 15% is a placeholder benchmark. Replace with your organisation's approved target.</t>
  </si>
  <si>
    <t>Tip: bands use inclusive limits; 999 / 999,999 means “and above”. Add a new department in the next empty cell of the Departments list.</t>
  </si>
  <si>
    <t>Data quality checks</t>
  </si>
  <si>
    <t>Records in Data sheet</t>
  </si>
  <si>
    <t>Departments not in the Settings list</t>
  </si>
  <si>
    <t>Attrition values other than Yes / No</t>
  </si>
  <si>
    <t>Job satisfaction outside the scale</t>
  </si>
  <si>
    <t>Promotion flag not 0 / 1</t>
  </si>
  <si>
    <t>Missing values in required columns</t>
  </si>
  <si>
    <t>Total issues</t>
  </si>
  <si>
    <t>Duplicate Employee IDs are highlighted red on the Data sheet (column A).</t>
  </si>
  <si>
    <t>Calculation engine — all dashboard numbers are computed here from the Data sheet. No inputs on this sheet.</t>
  </si>
  <si>
    <t>Active filters (read from Dashboard)</t>
  </si>
  <si>
    <t>Department criterion</t>
  </si>
  <si>
    <t>Satisfaction min</t>
  </si>
  <si>
    <t>Satisfaction max</t>
  </si>
  <si>
    <t>Promotion min</t>
  </si>
  <si>
    <t>Promotion max</t>
  </si>
  <si>
    <t>Any filter on? (1/0)</t>
  </si>
  <si>
    <t>Metric</t>
  </si>
  <si>
    <t>Company (no filters)</t>
  </si>
  <si>
    <t>Selection (filters)</t>
  </si>
  <si>
    <t>Employees left</t>
  </si>
  <si>
    <t>Attrition rate</t>
  </si>
  <si>
    <t>Average salary</t>
  </si>
  <si>
    <t>Avg job satisfaction</t>
  </si>
  <si>
    <t>Promotion rate</t>
  </si>
  <si>
    <t>Department master (ignores Department filter; respects Satisfaction &amp; Promotion filters)</t>
  </si>
  <si>
    <t>Avg tenure</t>
  </si>
  <si>
    <t>Headcount (all)</t>
  </si>
  <si>
    <t>Key: rate</t>
  </si>
  <si>
    <t>Key: salary</t>
  </si>
  <si>
    <t>Key: promo</t>
  </si>
  <si>
    <t>All departments</t>
  </si>
  <si>
    <t>Departments in scope</t>
  </si>
  <si>
    <t>Sorted views (feed the ranked bar charts)</t>
  </si>
  <si>
    <t>Rank</t>
  </si>
  <si>
    <t>Pos</t>
  </si>
  <si>
    <t>Dept (by attrition)</t>
  </si>
  <si>
    <t>Dept (by salary)</t>
  </si>
  <si>
    <t>Dept (by promo)</t>
  </si>
  <si>
    <t>By job satisfaction (ignores Satisfaction filter)</t>
  </si>
  <si>
    <t>Level</t>
  </si>
  <si>
    <t>Label</t>
  </si>
  <si>
    <t>By tenure band</t>
  </si>
  <si>
    <t>Band</t>
  </si>
  <si>
    <t>By age band</t>
  </si>
  <si>
    <t>By salary band</t>
  </si>
  <si>
    <t>By attrition status (all filters)</t>
  </si>
  <si>
    <t>Status</t>
  </si>
  <si>
    <t>Value</t>
  </si>
  <si>
    <t>Stayed</t>
  </si>
  <si>
    <t>By promotion status (ignores Promotion filter)</t>
  </si>
  <si>
    <t>Flag</t>
  </si>
  <si>
    <t>Heatmap: attrition % by department × satisfaction (ignores Department &amp; Satisfaction filters)</t>
  </si>
  <si>
    <t>Dept</t>
  </si>
  <si>
    <t>Auto-generated insights (text updates with the data)</t>
  </si>
  <si>
    <t>How this workbook works</t>
  </si>
  <si>
    <t>Dashboard</t>
  </si>
  <si>
    <t>Executive view: filters, KPI cards, auto-written insights, 14 charts, heatmap and department scorecard. Nothing to edit here except the three blue dropdowns.</t>
  </si>
  <si>
    <t>Data</t>
  </si>
  <si>
    <t>Your 800-employee dataset as an Excel Table (tblHR). Edit values, or paste / type new rows directly under the last row — the dashboard reads rows 2–5,000. Drop-downs and red duplicate-ID highlighting protect data quality.</t>
  </si>
  <si>
    <t>Settings</t>
  </si>
  <si>
    <t>Department list, satisfaction scale, tenure / age / salary band limits and the attrition target (an assumption — set your own). Also holds the automatic data-quality checks.</t>
  </si>
  <si>
    <t>Calc</t>
  </si>
  <si>
    <t>The formula engine (COUNTIFS / AVERAGEIFS over the Data sheet). All charts and KPIs read from here. Not for editing.</t>
  </si>
  <si>
    <t>Keeping it live</t>
  </si>
  <si>
    <t>1) Change or add rows on Data  2) Dashboard recalculates automatically  3) If you add a new department, type it in the next empty cell of the Settings department list. KPIs, heatmap and scorecard pick it up at once (up to 8 departments); extend the three department charts’ data range by one row to show it in the bar charts.</t>
  </si>
  <si>
    <t>Filters</t>
  </si>
  <si>
    <t>Department, Job satisfaction and Promotion. Every chart ignores the filter for its own dimension so comparisons stay visible. Select “All” to reset.</t>
  </si>
  <si>
    <t>Colour code</t>
  </si>
  <si>
    <t>Blue text = editable input · Black = formula · Yellow fill = assumption to confirm.</t>
  </si>
  <si>
    <t>Changes vs. original</t>
  </si>
  <si>
    <t>The original pivot tables and pivot charts were replaced by formula-driven equivalents so they never need a manual Refresh. The helper columns I–L (Total Employees, Employees Left, Attrition Rate, Column1) on the data sheet were removed — those values are now computed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</si>
</sst>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0.0"/>
    <numFmt numFmtId="167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rgb="FF0F172A"/>
      <name val="Arial"/>
      <family val="2"/>
    </font>
    <font>
      <b/>
      <sz val="18"/>
      <color rgb="FF0B1F3A"/>
      <name val="Arial"/>
      <family val="2"/>
    </font>
    <font>
      <sz val="9"/>
      <color rgb="FF64748B"/>
      <name val="Arial"/>
      <family val="2"/>
    </font>
    <font>
      <b/>
      <sz val="9"/>
      <color rgb="FFFFFFFF"/>
      <name val="Arial"/>
      <family val="2"/>
    </font>
    <font>
      <sz val="10"/>
      <color rgb="FF0000FF"/>
      <name val="Arial"/>
      <family val="2"/>
    </font>
    <font>
      <b/>
      <sz val="11"/>
      <color rgb="FF0B1F3A"/>
      <name val="Arial"/>
      <family val="2"/>
    </font>
    <font>
      <i/>
      <sz val="9"/>
      <color rgb="FF64748B"/>
      <name val="Arial"/>
      <family val="2"/>
    </font>
    <font>
      <b/>
      <sz val="10"/>
      <color rgb="FF0F172A"/>
      <name val="Arial"/>
      <family val="2"/>
    </font>
    <font>
      <sz val="9"/>
      <color rgb="FF0F172A"/>
      <name val="Arial"/>
      <family val="2"/>
    </font>
    <font>
      <b/>
      <sz val="9"/>
      <color rgb="FF0F172A"/>
      <name val="Arial"/>
      <family val="2"/>
    </font>
    <font>
      <b/>
      <sz val="8"/>
      <color rgb="FF64748B"/>
      <name val="Arial"/>
      <family val="2"/>
    </font>
    <font>
      <b/>
      <sz val="26"/>
      <color rgb="FF0B1F3A"/>
      <name val="Arial"/>
      <family val="2"/>
    </font>
    <font>
      <b/>
      <sz val="11"/>
      <color rgb="FFFFFFFF"/>
      <name val="Arial"/>
      <family val="2"/>
    </font>
    <font>
      <sz val="8"/>
      <color rgb="FF64748B"/>
      <name val="Arial"/>
      <family val="2"/>
    </font>
    <font>
      <b/>
      <sz val="8"/>
      <color rgb="FFFFFFFF"/>
      <name val="Arial"/>
      <family val="2"/>
    </font>
    <font>
      <i/>
      <sz val="8"/>
      <color rgb="FF64748B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FFFF"/>
      <name val="Calisto MT"/>
      <family val="1"/>
    </font>
    <font>
      <sz val="12"/>
      <color theme="1"/>
      <name val="Calisto MT"/>
      <family val="1"/>
    </font>
    <font>
      <b/>
      <sz val="12"/>
      <color rgb="FF5EEAD4"/>
      <name val="Calisto MT"/>
      <family val="1"/>
    </font>
    <font>
      <sz val="12"/>
      <color rgb="FFCBD5E1"/>
      <name val="Calisto MT"/>
      <family val="1"/>
    </font>
    <font>
      <sz val="12"/>
      <color rgb="FF0F172A"/>
      <name val="Calisto MT"/>
      <family val="1"/>
    </font>
    <font>
      <b/>
      <sz val="12"/>
      <color rgb="FF0B1F3A"/>
      <name val="Calisto MT"/>
      <family val="1"/>
    </font>
    <font>
      <b/>
      <sz val="12"/>
      <color rgb="FF0F172A"/>
      <name val="Calisto MT"/>
      <family val="1"/>
    </font>
  </fonts>
  <fills count="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FFBEB"/>
      </patternFill>
    </fill>
    <fill>
      <patternFill patternType="solid">
        <fgColor rgb="FFFEF9C3"/>
      </patternFill>
    </fill>
    <fill>
      <patternFill patternType="solid">
        <fgColor rgb="FF64748B"/>
      </patternFill>
    </fill>
    <fill>
      <patternFill patternType="solid">
        <fgColor rgb="FFEEF2F7"/>
      </patternFill>
    </fill>
    <fill>
      <patternFill patternType="solid">
        <fgColor rgb="FFDBEAFE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ck">
        <color rgb="FFEEF2F7"/>
      </left>
      <right/>
      <top/>
      <bottom/>
      <diagonal/>
    </border>
    <border>
      <left/>
      <right style="thick">
        <color rgb="FFEEF2F7"/>
      </right>
      <top/>
      <bottom/>
      <diagonal/>
    </border>
    <border>
      <left style="thick">
        <color rgb="FFEEF2F7"/>
      </left>
      <right style="thick">
        <color rgb="FFEEF2F7"/>
      </right>
      <top style="thick">
        <color rgb="FF2563EB"/>
      </top>
      <bottom/>
      <diagonal/>
    </border>
    <border>
      <left/>
      <right/>
      <top style="thick">
        <color rgb="FF2563EB"/>
      </top>
      <bottom/>
      <diagonal/>
    </border>
    <border>
      <left/>
      <right style="thick">
        <color rgb="FFEEF2F7"/>
      </right>
      <top style="thick">
        <color rgb="FF2563EB"/>
      </top>
      <bottom/>
      <diagonal/>
    </border>
    <border>
      <left style="thick">
        <color rgb="FFEEF2F7"/>
      </left>
      <right style="thick">
        <color rgb="FFEEF2F7"/>
      </right>
      <top/>
      <bottom/>
      <diagonal/>
    </border>
    <border>
      <left style="thick">
        <color rgb="FFEEF2F7"/>
      </left>
      <right/>
      <top/>
      <bottom/>
      <diagonal/>
    </border>
    <border>
      <left/>
      <right style="thick">
        <color rgb="FFEEF2F7"/>
      </right>
      <top/>
      <bottom/>
      <diagonal/>
    </border>
    <border>
      <left style="thick">
        <color rgb="FFEEF2F7"/>
      </left>
      <right style="thick">
        <color rgb="FFEEF2F7"/>
      </right>
      <top style="thick">
        <color rgb="FFE11D48"/>
      </top>
      <bottom/>
      <diagonal/>
    </border>
    <border>
      <left/>
      <right/>
      <top style="thick">
        <color rgb="FFE11D48"/>
      </top>
      <bottom/>
      <diagonal/>
    </border>
    <border>
      <left/>
      <right style="thick">
        <color rgb="FFEEF2F7"/>
      </right>
      <top style="thick">
        <color rgb="FFE11D48"/>
      </top>
      <bottom/>
      <diagonal/>
    </border>
    <border>
      <left style="thick">
        <color rgb="FFEEF2F7"/>
      </left>
      <right style="thick">
        <color rgb="FFEEF2F7"/>
      </right>
      <top style="thick">
        <color rgb="FF0D9488"/>
      </top>
      <bottom/>
      <diagonal/>
    </border>
    <border>
      <left/>
      <right/>
      <top style="thick">
        <color rgb="FF0D9488"/>
      </top>
      <bottom/>
      <diagonal/>
    </border>
    <border>
      <left/>
      <right style="thick">
        <color rgb="FFEEF2F7"/>
      </right>
      <top style="thick">
        <color rgb="FF0D9488"/>
      </top>
      <bottom/>
      <diagonal/>
    </border>
    <border>
      <left style="thick">
        <color rgb="FFEEF2F7"/>
      </left>
      <right style="thick">
        <color rgb="FFEEF2F7"/>
      </right>
      <top style="thick">
        <color rgb="FFF59E0B"/>
      </top>
      <bottom/>
      <diagonal/>
    </border>
    <border>
      <left/>
      <right/>
      <top style="thick">
        <color rgb="FFF59E0B"/>
      </top>
      <bottom/>
      <diagonal/>
    </border>
    <border>
      <left/>
      <right style="thick">
        <color rgb="FFEEF2F7"/>
      </right>
      <top style="thick">
        <color rgb="FFF59E0B"/>
      </top>
      <bottom/>
      <diagonal/>
    </border>
    <border>
      <left/>
      <right/>
      <top/>
      <bottom style="hair">
        <color rgb="FFE2E8F0"/>
      </bottom>
      <diagonal/>
    </border>
    <border>
      <left style="thick">
        <color rgb="FFEEF2F7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medium">
        <color rgb="FF0B1F3A"/>
      </top>
      <bottom style="thin">
        <color rgb="FFE2E8F0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98">
    <xf numFmtId="0" fontId="0" fillId="0" borderId="0" xfId="0"/>
    <xf numFmtId="0" fontId="0" fillId="6" borderId="0" xfId="0" applyFill="1"/>
    <xf numFmtId="0" fontId="0" fillId="8" borderId="6" xfId="0" applyFill="1" applyBorder="1"/>
    <xf numFmtId="0" fontId="0" fillId="8" borderId="2" xfId="0" applyFill="1" applyBorder="1"/>
    <xf numFmtId="0" fontId="0" fillId="8" borderId="7" xfId="0" applyFill="1" applyBorder="1"/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165" fontId="9" fillId="8" borderId="25" xfId="0" applyNumberFormat="1" applyFont="1" applyFill="1" applyBorder="1" applyAlignment="1">
      <alignment horizontal="center" vertical="center"/>
    </xf>
    <xf numFmtId="165" fontId="10" fillId="8" borderId="25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3" fontId="5" fillId="0" borderId="0" xfId="0" applyNumberFormat="1" applyFont="1"/>
    <xf numFmtId="0" fontId="5" fillId="3" borderId="1" xfId="0" applyFont="1" applyFill="1" applyBorder="1"/>
    <xf numFmtId="0" fontId="0" fillId="3" borderId="1" xfId="0" applyFill="1" applyBorder="1"/>
    <xf numFmtId="0" fontId="6" fillId="0" borderId="0" xfId="0" applyFont="1"/>
    <xf numFmtId="165" fontId="5" fillId="4" borderId="0" xfId="0" applyNumberFormat="1" applyFont="1" applyFill="1"/>
    <xf numFmtId="0" fontId="7" fillId="0" borderId="0" xfId="0" applyFont="1"/>
    <xf numFmtId="0" fontId="8" fillId="0" borderId="1" xfId="0" applyFont="1" applyBorder="1"/>
    <xf numFmtId="3" fontId="8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8" fillId="2" borderId="0" xfId="0" applyFont="1" applyFill="1" applyAlignment="1">
      <alignment horizontal="center" vertical="center"/>
    </xf>
    <xf numFmtId="0" fontId="22" fillId="0" borderId="0" xfId="0" applyFont="1"/>
    <xf numFmtId="164" fontId="22" fillId="0" borderId="0" xfId="0" applyNumberFormat="1" applyFont="1"/>
    <xf numFmtId="0" fontId="23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3" fillId="0" borderId="0" xfId="0" applyFont="1"/>
    <xf numFmtId="0" fontId="19" fillId="0" borderId="0" xfId="0" applyFont="1"/>
    <xf numFmtId="0" fontId="18" fillId="5" borderId="0" xfId="0" applyFont="1" applyFill="1" applyAlignment="1">
      <alignment horizontal="center" vertical="center"/>
    </xf>
    <xf numFmtId="3" fontId="22" fillId="0" borderId="0" xfId="0" applyNumberFormat="1" applyFont="1"/>
    <xf numFmtId="165" fontId="22" fillId="0" borderId="0" xfId="0" applyNumberFormat="1" applyFont="1"/>
    <xf numFmtId="2" fontId="22" fillId="0" borderId="0" xfId="0" applyNumberFormat="1" applyFont="1"/>
    <xf numFmtId="166" fontId="22" fillId="0" borderId="0" xfId="0" applyNumberFormat="1" applyFont="1"/>
    <xf numFmtId="167" fontId="22" fillId="0" borderId="0" xfId="1" applyNumberFormat="1" applyFont="1"/>
    <xf numFmtId="0" fontId="24" fillId="0" borderId="0" xfId="0" applyFont="1"/>
    <xf numFmtId="0" fontId="20" fillId="2" borderId="2" xfId="0" applyFont="1" applyFill="1" applyBorder="1" applyAlignment="1">
      <alignment horizontal="right" vertical="center" indent="1"/>
    </xf>
    <xf numFmtId="0" fontId="19" fillId="0" borderId="0" xfId="0" applyFont="1"/>
    <xf numFmtId="2" fontId="1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7" fillId="6" borderId="0" xfId="0" applyFont="1" applyFill="1" applyAlignment="1">
      <alignment horizontal="left" vertical="center" wrapText="1" indent="1"/>
    </xf>
    <xf numFmtId="0" fontId="0" fillId="0" borderId="0" xfId="0"/>
    <xf numFmtId="0" fontId="6" fillId="8" borderId="11" xfId="0" applyFont="1" applyFill="1" applyBorder="1" applyAlignment="1">
      <alignment horizontal="left" indent="1"/>
    </xf>
    <xf numFmtId="0" fontId="0" fillId="0" borderId="13" xfId="0" applyBorder="1"/>
    <xf numFmtId="0" fontId="14" fillId="8" borderId="11" xfId="0" applyFont="1" applyFill="1" applyBorder="1" applyAlignment="1">
      <alignment horizontal="left" vertical="top" indent="1"/>
    </xf>
    <xf numFmtId="0" fontId="3" fillId="8" borderId="11" xfId="0" applyFont="1" applyFill="1" applyBorder="1" applyAlignment="1">
      <alignment horizontal="left" vertical="center" indent="1"/>
    </xf>
    <xf numFmtId="166" fontId="1" fillId="8" borderId="1" xfId="0" applyNumberFormat="1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1" fillId="6" borderId="0" xfId="0" applyFont="1" applyFill="1" applyAlignment="1">
      <alignment horizontal="left"/>
    </xf>
    <xf numFmtId="0" fontId="8" fillId="8" borderId="1" xfId="0" applyFont="1" applyFill="1" applyBorder="1" applyAlignment="1">
      <alignment horizontal="left" vertical="center" indent="1"/>
    </xf>
    <xf numFmtId="164" fontId="1" fillId="8" borderId="1" xfId="0" applyNumberFormat="1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left" vertical="center" indent="1"/>
    </xf>
    <xf numFmtId="0" fontId="0" fillId="0" borderId="21" xfId="0" applyBorder="1"/>
    <xf numFmtId="0" fontId="0" fillId="0" borderId="22" xfId="0" applyBorder="1"/>
    <xf numFmtId="165" fontId="1" fillId="8" borderId="1" xfId="0" applyNumberFormat="1" applyFont="1" applyFill="1" applyBorder="1" applyAlignment="1">
      <alignment horizontal="center" vertical="center"/>
    </xf>
    <xf numFmtId="165" fontId="12" fillId="8" borderId="11" xfId="0" applyNumberFormat="1" applyFont="1" applyFill="1" applyBorder="1" applyAlignment="1">
      <alignment horizontal="left" vertical="center" indent="1"/>
    </xf>
    <xf numFmtId="0" fontId="0" fillId="0" borderId="12" xfId="0" applyBorder="1"/>
    <xf numFmtId="0" fontId="1" fillId="8" borderId="23" xfId="0" applyFont="1" applyFill="1" applyBorder="1" applyAlignment="1">
      <alignment horizontal="left" vertical="center" wrapText="1" indent="1"/>
    </xf>
    <xf numFmtId="0" fontId="0" fillId="0" borderId="23" xfId="0" applyBorder="1"/>
    <xf numFmtId="0" fontId="11" fillId="8" borderId="8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11" fillId="8" borderId="17" xfId="0" applyFont="1" applyFill="1" applyBorder="1" applyAlignment="1">
      <alignment horizontal="left" vertical="center" indent="1"/>
    </xf>
    <xf numFmtId="0" fontId="0" fillId="0" borderId="18" xfId="0" applyBorder="1"/>
    <xf numFmtId="0" fontId="0" fillId="0" borderId="19" xfId="0" applyBorder="1"/>
    <xf numFmtId="0" fontId="16" fillId="6" borderId="0" xfId="0" applyFont="1" applyFill="1" applyAlignment="1">
      <alignment horizontal="left" vertical="top" wrapText="1" indent="1"/>
    </xf>
    <xf numFmtId="0" fontId="10" fillId="8" borderId="24" xfId="0" applyFont="1" applyFill="1" applyBorder="1" applyAlignment="1">
      <alignment horizontal="left" vertical="center" indent="1"/>
    </xf>
    <xf numFmtId="0" fontId="0" fillId="0" borderId="25" xfId="0" applyBorder="1"/>
    <xf numFmtId="165" fontId="8" fillId="8" borderId="26" xfId="0" applyNumberFormat="1" applyFont="1" applyFill="1" applyBorder="1" applyAlignment="1">
      <alignment horizontal="center" vertical="center"/>
    </xf>
    <xf numFmtId="0" fontId="0" fillId="0" borderId="26" xfId="0" applyBorder="1"/>
    <xf numFmtId="0" fontId="8" fillId="8" borderId="26" xfId="0" applyFont="1" applyFill="1" applyBorder="1" applyAlignment="1">
      <alignment horizontal="left" vertical="center" indent="1"/>
    </xf>
    <xf numFmtId="166" fontId="8" fillId="8" borderId="26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indent="1"/>
    </xf>
    <xf numFmtId="2" fontId="8" fillId="8" borderId="26" xfId="0" applyNumberFormat="1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left" vertical="center" indent="1"/>
    </xf>
    <xf numFmtId="0" fontId="0" fillId="0" borderId="15" xfId="0" applyBorder="1"/>
    <xf numFmtId="0" fontId="0" fillId="0" borderId="16" xfId="0" applyBorder="1"/>
    <xf numFmtId="0" fontId="16" fillId="8" borderId="11" xfId="0" applyFont="1" applyFill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center" vertical="center"/>
    </xf>
    <xf numFmtId="0" fontId="0" fillId="2" borderId="0" xfId="0" applyFill="1"/>
    <xf numFmtId="0" fontId="15" fillId="2" borderId="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3" fontId="12" fillId="8" borderId="11" xfId="0" applyNumberFormat="1" applyFont="1" applyFill="1" applyBorder="1" applyAlignment="1">
      <alignment horizontal="left" vertical="center" indent="1"/>
    </xf>
    <xf numFmtId="0" fontId="18" fillId="2" borderId="2" xfId="0" applyFont="1" applyFill="1" applyBorder="1" applyAlignment="1">
      <alignment horizontal="left" vertical="center" indent="1"/>
    </xf>
    <xf numFmtId="164" fontId="12" fillId="8" borderId="11" xfId="0" applyNumberFormat="1" applyFont="1" applyFill="1" applyBorder="1" applyAlignment="1">
      <alignment horizontal="left" vertical="center" indent="1"/>
    </xf>
    <xf numFmtId="0" fontId="21" fillId="2" borderId="2" xfId="0" applyFont="1" applyFill="1" applyBorder="1" applyAlignment="1">
      <alignment horizontal="left" vertical="center" indent="1"/>
    </xf>
    <xf numFmtId="164" fontId="8" fillId="8" borderId="26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2" fontId="12" fillId="8" borderId="11" xfId="0" applyNumberFormat="1" applyFont="1" applyFill="1" applyBorder="1" applyAlignment="1">
      <alignment horizontal="left" vertical="center" indent="1"/>
    </xf>
    <xf numFmtId="3" fontId="8" fillId="8" borderId="26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3" fillId="0" borderId="2" xfId="0" applyFont="1" applyBorder="1"/>
  </cellXfs>
  <cellStyles count="2">
    <cellStyle name="Currency" xfId="1" builtinId="4"/>
    <cellStyle name="Normal" xfId="0" builtinId="0"/>
  </cellStyles>
  <dxfs count="18">
    <dxf>
      <font>
        <color rgb="FF991B1B"/>
      </font>
      <fill>
        <patternFill>
          <bgColor rgb="FFFECACA"/>
        </patternFill>
      </fill>
    </dxf>
    <dxf>
      <font>
        <b/>
        <color rgb="FF15803D"/>
      </font>
    </dxf>
    <dxf>
      <font>
        <b/>
        <color rgb="FFB91C1C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name val="Calisto MT"/>
        <scheme val="none"/>
      </font>
    </dxf>
    <dxf>
      <fill>
        <patternFill>
          <bgColor rgb="FFDBEAFE"/>
        </patternFill>
      </fill>
    </dxf>
    <dxf>
      <font>
        <b/>
        <color rgb="FFE11D48"/>
      </font>
    </dxf>
    <dxf>
      <font>
        <b/>
        <sz val="26"/>
        <color rgb="FF15803D"/>
        <name val="Arial"/>
      </font>
    </dxf>
    <dxf>
      <font>
        <b/>
        <sz val="26"/>
        <color rgb="FFE11D48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E11D4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Calc!$D$38:$D$42</c:f>
              <c:strCache>
                <c:ptCount val="5"/>
                <c:pt idx="0">
                  <c:v>Finance</c:v>
                </c:pt>
                <c:pt idx="1">
                  <c:v>Sales</c:v>
                </c:pt>
                <c:pt idx="2">
                  <c:v>HR</c:v>
                </c:pt>
                <c:pt idx="3">
                  <c:v>Operations</c:v>
                </c:pt>
                <c:pt idx="4">
                  <c:v>IT</c:v>
                </c:pt>
              </c:strCache>
            </c:strRef>
          </c:cat>
          <c:val>
            <c:numRef>
              <c:f>Calc!$E$38:$E$42</c:f>
              <c:numCache>
                <c:formatCode>0.0%</c:formatCode>
                <c:ptCount val="5"/>
                <c:pt idx="0">
                  <c:v>0.22941176470588234</c:v>
                </c:pt>
                <c:pt idx="1">
                  <c:v>0.20645161290322581</c:v>
                </c:pt>
                <c:pt idx="2">
                  <c:v>0.17816091954022989</c:v>
                </c:pt>
                <c:pt idx="3">
                  <c:v>0.1619718309859155</c:v>
                </c:pt>
                <c:pt idx="4">
                  <c:v>0.13207547169811321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8-4512-B41C-4F3A1309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E11D4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Calc!$H$50:$H$53</c:f>
              <c:strCache>
                <c:ptCount val="4"/>
                <c:pt idx="0">
                  <c:v>Rating 1</c:v>
                </c:pt>
                <c:pt idx="1">
                  <c:v>Rating 2</c:v>
                </c:pt>
                <c:pt idx="2">
                  <c:v>Rating 3</c:v>
                </c:pt>
                <c:pt idx="3">
                  <c:v>Rating 4</c:v>
                </c:pt>
              </c:strCache>
            </c:strRef>
          </c:cat>
          <c:val>
            <c:numRef>
              <c:f>Calc!$D$50:$D$53</c:f>
              <c:numCache>
                <c:formatCode>#,##0</c:formatCode>
                <c:ptCount val="4"/>
                <c:pt idx="0">
                  <c:v>42</c:v>
                </c:pt>
                <c:pt idx="1">
                  <c:v>31</c:v>
                </c:pt>
                <c:pt idx="2">
                  <c:v>38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6-468C-ABEB-E737366BB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v</c:v>
          </c:tx>
          <c:spPr>
            <a:ln w="31750">
              <a:solidFill>
                <a:srgbClr val="E11D48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E11D48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Calc!$B$58:$B$62</c:f>
              <c:strCache>
                <c:ptCount val="5"/>
                <c:pt idx="0">
                  <c:v>0–2 yrs</c:v>
                </c:pt>
                <c:pt idx="1">
                  <c:v>3–5 yrs</c:v>
                </c:pt>
                <c:pt idx="2">
                  <c:v>6–10 yrs</c:v>
                </c:pt>
                <c:pt idx="3">
                  <c:v>11–15 yrs</c:v>
                </c:pt>
                <c:pt idx="4">
                  <c:v>16+ yrs</c:v>
                </c:pt>
              </c:strCache>
            </c:strRef>
          </c:cat>
          <c:val>
            <c:numRef>
              <c:f>Calc!$G$58:$G$62</c:f>
              <c:numCache>
                <c:formatCode>0.0%</c:formatCode>
                <c:ptCount val="5"/>
                <c:pt idx="0">
                  <c:v>0.17355371900826447</c:v>
                </c:pt>
                <c:pt idx="1">
                  <c:v>0.20909090909090908</c:v>
                </c:pt>
                <c:pt idx="2">
                  <c:v>0.19892473118279569</c:v>
                </c:pt>
                <c:pt idx="3">
                  <c:v>0.1990521327014218</c:v>
                </c:pt>
                <c:pt idx="4">
                  <c:v>0.13372093023255813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9-41FF-86CC-D96CCD00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2563E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Calc!$B$67:$B$70</c:f>
              <c:strCache>
                <c:ptCount val="4"/>
                <c:pt idx="0">
                  <c:v>Under 30</c:v>
                </c:pt>
                <c:pt idx="1">
                  <c:v>30–39</c:v>
                </c:pt>
                <c:pt idx="2">
                  <c:v>40–49</c:v>
                </c:pt>
                <c:pt idx="3">
                  <c:v>50+</c:v>
                </c:pt>
              </c:strCache>
            </c:strRef>
          </c:cat>
          <c:val>
            <c:numRef>
              <c:f>Calc!$G$67:$G$70</c:f>
              <c:numCache>
                <c:formatCode>0.0%</c:formatCode>
                <c:ptCount val="4"/>
                <c:pt idx="0">
                  <c:v>0.17647058823529413</c:v>
                </c:pt>
                <c:pt idx="1">
                  <c:v>0.18226600985221675</c:v>
                </c:pt>
                <c:pt idx="2">
                  <c:v>0.21182266009852216</c:v>
                </c:pt>
                <c:pt idx="3">
                  <c:v>0.15942028985507245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9-401A-A40A-8C3551E83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v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C3-40DE-9F06-0C43EB33F431}"/>
              </c:ext>
            </c:extLst>
          </c:dPt>
          <c:dPt>
            <c:idx val="1"/>
            <c:bubble3D val="0"/>
            <c:spPr>
              <a:solidFill>
                <a:srgbClr val="E11D48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C3-40DE-9F06-0C43EB33F4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Calc!$B$84:$B$85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Calc!$D$84:$D$85</c:f>
              <c:numCache>
                <c:formatCode>#,##0</c:formatCode>
                <c:ptCount val="2"/>
                <c:pt idx="0">
                  <c:v>654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C3-40DE-9F06-0C43EB33F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  <a:prstDash val="solid"/>
        </a:ln>
      </c:spPr>
    </c:plotArea>
    <c:legend>
      <c:legendPos val="b"/>
      <c:layout/>
      <c:overlay val="1"/>
      <c:txPr>
        <a:bodyPr/>
        <a:lstStyle/>
        <a:p>
          <a:pPr>
            <a:defRPr sz="900" b="0">
              <a:solidFill>
                <a:srgbClr val="47556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2563EB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0D948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76-4C86-87BB-A8EB8607CA1B}"/>
              </c:ext>
            </c:extLst>
          </c:dPt>
          <c:dPt>
            <c:idx val="1"/>
            <c:invertIfNegative val="1"/>
            <c:bubble3D val="0"/>
            <c:spPr>
              <a:solidFill>
                <a:srgbClr val="E11D4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76-4C86-87BB-A8EB8607C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Calc!$B$84:$B$85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Calc!$E$84:$E$85</c:f>
              <c:numCache>
                <c:formatCode>"$"#,##0</c:formatCode>
                <c:ptCount val="2"/>
                <c:pt idx="0">
                  <c:v>74856.643730886848</c:v>
                </c:pt>
                <c:pt idx="1">
                  <c:v>75980.773972602736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76-4C86-87BB-A8EB8607C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2563E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Calc!$H$38:$H$42</c:f>
              <c:strCache>
                <c:ptCount val="5"/>
                <c:pt idx="0">
                  <c:v>IT</c:v>
                </c:pt>
                <c:pt idx="1">
                  <c:v>Operations</c:v>
                </c:pt>
                <c:pt idx="2">
                  <c:v>Sales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Calc!$I$38:$I$42</c:f>
              <c:numCache>
                <c:formatCode>"$"#,##0</c:formatCode>
                <c:ptCount val="5"/>
                <c:pt idx="0">
                  <c:v>77438.679245283012</c:v>
                </c:pt>
                <c:pt idx="1">
                  <c:v>75429.457746478874</c:v>
                </c:pt>
                <c:pt idx="2">
                  <c:v>74673.316129032261</c:v>
                </c:pt>
                <c:pt idx="3">
                  <c:v>74193.429411764708</c:v>
                </c:pt>
                <c:pt idx="4">
                  <c:v>73784.241379310348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3-40B1-9C6B-823EA9810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E11D4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Calc!$B$75:$B$79</c:f>
              <c:strCache>
                <c:ptCount val="5"/>
                <c:pt idx="0">
                  <c:v>Under $50k</c:v>
                </c:pt>
                <c:pt idx="1">
                  <c:v>$50k–$70k</c:v>
                </c:pt>
                <c:pt idx="2">
                  <c:v>$70k–$90k</c:v>
                </c:pt>
                <c:pt idx="3">
                  <c:v>$90k–$110k</c:v>
                </c:pt>
                <c:pt idx="4">
                  <c:v>$110k+</c:v>
                </c:pt>
              </c:strCache>
            </c:strRef>
          </c:cat>
          <c:val>
            <c:numRef>
              <c:f>Calc!$G$75:$G$79</c:f>
              <c:numCache>
                <c:formatCode>0.0%</c:formatCode>
                <c:ptCount val="5"/>
                <c:pt idx="0">
                  <c:v>0.20725388601036268</c:v>
                </c:pt>
                <c:pt idx="1">
                  <c:v>0.15254237288135594</c:v>
                </c:pt>
                <c:pt idx="2">
                  <c:v>0.15333333333333332</c:v>
                </c:pt>
                <c:pt idx="3">
                  <c:v>0.16969696969696971</c:v>
                </c:pt>
                <c:pt idx="4">
                  <c:v>0.24347826086956523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9-499E-90C6-E4C72B52E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v</c:v>
          </c:tx>
          <c:spPr>
            <a:ln w="31750">
              <a:solidFill>
                <a:srgbClr val="0D9488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Calc!$H$50:$H$53</c:f>
              <c:strCache>
                <c:ptCount val="4"/>
                <c:pt idx="0">
                  <c:v>Rating 1</c:v>
                </c:pt>
                <c:pt idx="1">
                  <c:v>Rating 2</c:v>
                </c:pt>
                <c:pt idx="2">
                  <c:v>Rating 3</c:v>
                </c:pt>
                <c:pt idx="3">
                  <c:v>Rating 4</c:v>
                </c:pt>
              </c:strCache>
            </c:strRef>
          </c:cat>
          <c:val>
            <c:numRef>
              <c:f>Calc!$F$50:$F$53</c:f>
              <c:numCache>
                <c:formatCode>"$"#,##0</c:formatCode>
                <c:ptCount val="4"/>
                <c:pt idx="0">
                  <c:v>76261.967592592599</c:v>
                </c:pt>
                <c:pt idx="1">
                  <c:v>77713.912087912089</c:v>
                </c:pt>
                <c:pt idx="2">
                  <c:v>71878.031413612567</c:v>
                </c:pt>
                <c:pt idx="3">
                  <c:v>74427.568720379146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3-47C0-8157-16131ADEB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2563E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Calc!$B$58:$B$62</c:f>
              <c:strCache>
                <c:ptCount val="5"/>
                <c:pt idx="0">
                  <c:v>0–2 yrs</c:v>
                </c:pt>
                <c:pt idx="1">
                  <c:v>3–5 yrs</c:v>
                </c:pt>
                <c:pt idx="2">
                  <c:v>6–10 yrs</c:v>
                </c:pt>
                <c:pt idx="3">
                  <c:v>11–15 yrs</c:v>
                </c:pt>
                <c:pt idx="4">
                  <c:v>16+ yrs</c:v>
                </c:pt>
              </c:strCache>
            </c:strRef>
          </c:cat>
          <c:val>
            <c:numRef>
              <c:f>Calc!$H$58:$H$62</c:f>
              <c:numCache>
                <c:formatCode>"$"#,##0</c:formatCode>
                <c:ptCount val="5"/>
                <c:pt idx="0">
                  <c:v>73856.64462809918</c:v>
                </c:pt>
                <c:pt idx="1">
                  <c:v>73606.909090909088</c:v>
                </c:pt>
                <c:pt idx="2">
                  <c:v>74203.569892473111</c:v>
                </c:pt>
                <c:pt idx="3">
                  <c:v>79338.317535545022</c:v>
                </c:pt>
                <c:pt idx="4">
                  <c:v>72521.94767441861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F-4B69-B02E-43CD41E3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0D948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Calc!$B$67:$B$70</c:f>
              <c:strCache>
                <c:ptCount val="4"/>
                <c:pt idx="0">
                  <c:v>Under 30</c:v>
                </c:pt>
                <c:pt idx="1">
                  <c:v>30–39</c:v>
                </c:pt>
                <c:pt idx="2">
                  <c:v>40–49</c:v>
                </c:pt>
                <c:pt idx="3">
                  <c:v>50+</c:v>
                </c:pt>
              </c:strCache>
            </c:strRef>
          </c:cat>
          <c:val>
            <c:numRef>
              <c:f>Calc!$H$67:$H$70</c:f>
              <c:numCache>
                <c:formatCode>"$"#,##0</c:formatCode>
                <c:ptCount val="4"/>
                <c:pt idx="0">
                  <c:v>75962.919786096259</c:v>
                </c:pt>
                <c:pt idx="1">
                  <c:v>75110.921182266015</c:v>
                </c:pt>
                <c:pt idx="2">
                  <c:v>76303.669950738913</c:v>
                </c:pt>
                <c:pt idx="3">
                  <c:v>72981.690821256037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E-47C4-B845-3EECDB12F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F59E0B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F59E0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2E-4B8C-9F4D-A6BCA7426054}"/>
              </c:ext>
            </c:extLst>
          </c:dPt>
          <c:dPt>
            <c:idx val="1"/>
            <c:invertIfNegative val="1"/>
            <c:bubble3D val="0"/>
            <c:spPr>
              <a:solidFill>
                <a:srgbClr val="0D948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2E-4B8C-9F4D-A6BCA74260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Calc!$B$90:$B$91</c:f>
              <c:strCache>
                <c:ptCount val="2"/>
                <c:pt idx="0">
                  <c:v>Not promoted</c:v>
                </c:pt>
                <c:pt idx="1">
                  <c:v>Promoted</c:v>
                </c:pt>
              </c:strCache>
            </c:strRef>
          </c:cat>
          <c:val>
            <c:numRef>
              <c:f>Calc!$F$90:$F$91</c:f>
              <c:numCache>
                <c:formatCode>0.0%</c:formatCode>
                <c:ptCount val="2"/>
                <c:pt idx="0">
                  <c:v>0.19294990723562153</c:v>
                </c:pt>
                <c:pt idx="1">
                  <c:v>0.16091954022988506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E-4B8C-9F4D-A6BCA7426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0D948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Calc!$L$38:$L$42</c:f>
              <c:strCache>
                <c:ptCount val="5"/>
                <c:pt idx="0">
                  <c:v>IT</c:v>
                </c:pt>
                <c:pt idx="1">
                  <c:v>Finance</c:v>
                </c:pt>
                <c:pt idx="2">
                  <c:v>Operations</c:v>
                </c:pt>
                <c:pt idx="3">
                  <c:v>HR</c:v>
                </c:pt>
                <c:pt idx="4">
                  <c:v>Sales</c:v>
                </c:pt>
              </c:strCache>
            </c:strRef>
          </c:cat>
          <c:val>
            <c:numRef>
              <c:f>Calc!$M$38:$M$42</c:f>
              <c:numCache>
                <c:formatCode>0.0%</c:formatCode>
                <c:ptCount val="5"/>
                <c:pt idx="0">
                  <c:v>0.36477987421383645</c:v>
                </c:pt>
                <c:pt idx="1">
                  <c:v>0.34705882352941175</c:v>
                </c:pt>
                <c:pt idx="2">
                  <c:v>0.30985915492957744</c:v>
                </c:pt>
                <c:pt idx="3">
                  <c:v>0.3045977011494253</c:v>
                </c:pt>
                <c:pt idx="4">
                  <c:v>0.3032258064516129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E-41D2-824D-846B6A7BF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</c:v>
          </c:tx>
          <c:spPr>
            <a:solidFill>
              <a:srgbClr val="2563E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172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Calc!$B$58:$B$62</c:f>
              <c:strCache>
                <c:ptCount val="5"/>
                <c:pt idx="0">
                  <c:v>0–2 yrs</c:v>
                </c:pt>
                <c:pt idx="1">
                  <c:v>3–5 yrs</c:v>
                </c:pt>
                <c:pt idx="2">
                  <c:v>6–10 yrs</c:v>
                </c:pt>
                <c:pt idx="3">
                  <c:v>11–15 yrs</c:v>
                </c:pt>
                <c:pt idx="4">
                  <c:v>16+ yrs</c:v>
                </c:pt>
              </c:strCache>
            </c:strRef>
          </c:cat>
          <c:val>
            <c:numRef>
              <c:f>Calc!$I$58:$I$62</c:f>
              <c:numCache>
                <c:formatCode>0.0%</c:formatCode>
                <c:ptCount val="5"/>
                <c:pt idx="0">
                  <c:v>0.33884297520661155</c:v>
                </c:pt>
                <c:pt idx="1">
                  <c:v>0.23636363636363636</c:v>
                </c:pt>
                <c:pt idx="2">
                  <c:v>0.31720430107526881</c:v>
                </c:pt>
                <c:pt idx="3">
                  <c:v>0.37440758293838861</c:v>
                </c:pt>
                <c:pt idx="4">
                  <c:v>0.32558139534883723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9-4871-91B6-D31BB4570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4896000" cy="2844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24</xdr:row>
      <xdr:rowOff>0</xdr:rowOff>
    </xdr:from>
    <xdr:ext cx="4896000" cy="2844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24</xdr:row>
      <xdr:rowOff>0</xdr:rowOff>
    </xdr:from>
    <xdr:ext cx="4896000" cy="2844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40</xdr:row>
      <xdr:rowOff>0</xdr:rowOff>
    </xdr:from>
    <xdr:ext cx="4896000" cy="2844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40</xdr:row>
      <xdr:rowOff>0</xdr:rowOff>
    </xdr:from>
    <xdr:ext cx="4896000" cy="2844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58</xdr:row>
      <xdr:rowOff>0</xdr:rowOff>
    </xdr:from>
    <xdr:ext cx="4896000" cy="28440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9</xdr:col>
      <xdr:colOff>0</xdr:colOff>
      <xdr:row>58</xdr:row>
      <xdr:rowOff>0</xdr:rowOff>
    </xdr:from>
    <xdr:ext cx="4896000" cy="28440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17</xdr:col>
      <xdr:colOff>0</xdr:colOff>
      <xdr:row>58</xdr:row>
      <xdr:rowOff>0</xdr:rowOff>
    </xdr:from>
    <xdr:ext cx="4896000" cy="28440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</xdr:col>
      <xdr:colOff>0</xdr:colOff>
      <xdr:row>74</xdr:row>
      <xdr:rowOff>0</xdr:rowOff>
    </xdr:from>
    <xdr:ext cx="4896000" cy="28440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0</xdr:colOff>
      <xdr:row>74</xdr:row>
      <xdr:rowOff>0</xdr:rowOff>
    </xdr:from>
    <xdr:ext cx="4896000" cy="2844000"/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17</xdr:col>
      <xdr:colOff>0</xdr:colOff>
      <xdr:row>74</xdr:row>
      <xdr:rowOff>0</xdr:rowOff>
    </xdr:from>
    <xdr:ext cx="4896000" cy="2844000"/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</xdr:col>
      <xdr:colOff>0</xdr:colOff>
      <xdr:row>92</xdr:row>
      <xdr:rowOff>0</xdr:rowOff>
    </xdr:from>
    <xdr:ext cx="4896000" cy="2844000"/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9</xdr:col>
      <xdr:colOff>0</xdr:colOff>
      <xdr:row>92</xdr:row>
      <xdr:rowOff>0</xdr:rowOff>
    </xdr:from>
    <xdr:ext cx="4896000" cy="2844000"/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17</xdr:col>
      <xdr:colOff>0</xdr:colOff>
      <xdr:row>92</xdr:row>
      <xdr:rowOff>0</xdr:rowOff>
    </xdr:from>
    <xdr:ext cx="4896000" cy="2844000"/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lHR" displayName="tblHR" ref="A1:H801" headerRowDxfId="13" dataDxfId="12" totalsRowDxfId="11">
  <autoFilter ref="A1:H801"/>
  <tableColumns count="8">
    <tableColumn id="1" name="EmployeeID" dataDxfId="10"/>
    <tableColumn id="2" name="Age" dataDxfId="9"/>
    <tableColumn id="3" name="Department" dataDxfId="8"/>
    <tableColumn id="4" name="Salary" dataDxfId="7"/>
    <tableColumn id="5" name="Years At Company" dataDxfId="6"/>
    <tableColumn id="6" name="Job Satisfaction" dataDxfId="5"/>
    <tableColumn id="7" name="Promotion Last 5Years" dataDxfId="4"/>
    <tableColumn id="8" name="Attri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1F3A"/>
    <pageSetUpPr fitToPage="1"/>
  </sheetPr>
  <dimension ref="A1:Z124"/>
  <sheetViews>
    <sheetView showGridLines="0" tabSelected="1" workbookViewId="0">
      <pane ySplit="7" topLeftCell="A38" activePane="bottomLeft" state="frozen"/>
      <selection pane="bottomLeft" activeCell="F10" sqref="F10:I11"/>
    </sheetView>
  </sheetViews>
  <sheetFormatPr defaultColWidth="0" defaultRowHeight="15" x14ac:dyDescent="0.25"/>
  <cols>
    <col min="1" max="1" width="2" customWidth="1"/>
    <col min="2" max="25" width="8.7109375" customWidth="1"/>
    <col min="26" max="26" width="2" customWidth="1"/>
    <col min="27" max="27" width="13" hidden="1" customWidth="1"/>
    <col min="28" max="16384" width="13" hidden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8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8" t="str">
        <f>IF(Settings!$C$28=0,"●  LIVE   |   "&amp;TEXT(Settings!$C$22,"#,##0")&amp;" records   |   data checks passed","▲  "&amp;Settings!$C$28&amp;" DATA ISSUE(S) — SEE SETTINGS")</f>
        <v>●  LIVE   |   800 records   |   data checks passed</v>
      </c>
      <c r="S2" s="39"/>
      <c r="T2" s="39"/>
      <c r="U2" s="39"/>
      <c r="V2" s="39"/>
      <c r="W2" s="39"/>
      <c r="X2" s="39"/>
      <c r="Y2" s="39"/>
      <c r="Z2" s="1"/>
    </row>
    <row r="3" spans="1:26" ht="15.75" x14ac:dyDescent="0.25">
      <c r="A3" s="1"/>
      <c r="B3" s="90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53" t="s">
        <v>2</v>
      </c>
      <c r="C5" s="43"/>
      <c r="D5" s="43"/>
      <c r="E5" s="43"/>
      <c r="F5" s="1"/>
      <c r="G5" s="53" t="s">
        <v>3</v>
      </c>
      <c r="H5" s="43"/>
      <c r="I5" s="43"/>
      <c r="J5" s="43"/>
      <c r="K5" s="1"/>
      <c r="L5" s="53" t="s">
        <v>4</v>
      </c>
      <c r="M5" s="43"/>
      <c r="N5" s="43"/>
      <c r="O5" s="43"/>
      <c r="P5" s="1"/>
      <c r="Q5" s="42" t="s">
        <v>5</v>
      </c>
      <c r="R5" s="43"/>
      <c r="S5" s="43"/>
      <c r="T5" s="43"/>
      <c r="U5" s="43"/>
      <c r="V5" s="43"/>
      <c r="W5" s="43"/>
      <c r="X5" s="43"/>
      <c r="Y5" s="43"/>
      <c r="Z5" s="1"/>
    </row>
    <row r="6" spans="1:26" x14ac:dyDescent="0.25">
      <c r="A6" s="1"/>
      <c r="B6" s="50" t="s">
        <v>6</v>
      </c>
      <c r="C6" s="51"/>
      <c r="D6" s="51"/>
      <c r="E6" s="52"/>
      <c r="F6" s="1"/>
      <c r="G6" s="50" t="s">
        <v>6</v>
      </c>
      <c r="H6" s="51"/>
      <c r="I6" s="51"/>
      <c r="J6" s="52"/>
      <c r="K6" s="1"/>
      <c r="L6" s="50" t="s">
        <v>6</v>
      </c>
      <c r="M6" s="51"/>
      <c r="N6" s="51"/>
      <c r="O6" s="52"/>
      <c r="P6" s="1"/>
      <c r="Q6" s="43"/>
      <c r="R6" s="43"/>
      <c r="S6" s="43"/>
      <c r="T6" s="43"/>
      <c r="U6" s="43"/>
      <c r="V6" s="43"/>
      <c r="W6" s="43"/>
      <c r="X6" s="43"/>
      <c r="Y6" s="43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64" t="s">
        <v>7</v>
      </c>
      <c r="C9" s="65"/>
      <c r="D9" s="65"/>
      <c r="E9" s="66"/>
      <c r="F9" s="79" t="s">
        <v>8</v>
      </c>
      <c r="G9" s="80"/>
      <c r="H9" s="80"/>
      <c r="I9" s="81"/>
      <c r="J9" s="79" t="s">
        <v>9</v>
      </c>
      <c r="K9" s="80"/>
      <c r="L9" s="80"/>
      <c r="M9" s="81"/>
      <c r="N9" s="67" t="s">
        <v>10</v>
      </c>
      <c r="O9" s="68"/>
      <c r="P9" s="68"/>
      <c r="Q9" s="69"/>
      <c r="R9" s="56" t="s">
        <v>3</v>
      </c>
      <c r="S9" s="57"/>
      <c r="T9" s="57"/>
      <c r="U9" s="58"/>
      <c r="V9" s="64" t="s">
        <v>11</v>
      </c>
      <c r="W9" s="65"/>
      <c r="X9" s="65"/>
      <c r="Y9" s="66"/>
      <c r="Z9" s="1"/>
    </row>
    <row r="10" spans="1:26" x14ac:dyDescent="0.25">
      <c r="A10" s="1"/>
      <c r="B10" s="87">
        <f>Calc!D12</f>
        <v>800</v>
      </c>
      <c r="C10" s="43"/>
      <c r="D10" s="43"/>
      <c r="E10" s="45"/>
      <c r="F10" s="87">
        <f>Calc!D13</f>
        <v>146</v>
      </c>
      <c r="G10" s="43"/>
      <c r="H10" s="43"/>
      <c r="I10" s="45"/>
      <c r="J10" s="60">
        <f>Calc!D14</f>
        <v>0.1825</v>
      </c>
      <c r="K10" s="43"/>
      <c r="L10" s="43"/>
      <c r="M10" s="45"/>
      <c r="N10" s="89">
        <f>Calc!D15</f>
        <v>75061.797500000001</v>
      </c>
      <c r="O10" s="43"/>
      <c r="P10" s="43"/>
      <c r="Q10" s="45"/>
      <c r="R10" s="93">
        <f>Calc!D16</f>
        <v>2.4962499999999999</v>
      </c>
      <c r="S10" s="43"/>
      <c r="T10" s="43"/>
      <c r="U10" s="45"/>
      <c r="V10" s="60">
        <f>Calc!D17</f>
        <v>0.32624999999999998</v>
      </c>
      <c r="W10" s="43"/>
      <c r="X10" s="43"/>
      <c r="Y10" s="45"/>
      <c r="Z10" s="1"/>
    </row>
    <row r="11" spans="1:26" x14ac:dyDescent="0.25">
      <c r="A11" s="1"/>
      <c r="B11" s="61"/>
      <c r="C11" s="43"/>
      <c r="D11" s="43"/>
      <c r="E11" s="45"/>
      <c r="F11" s="61"/>
      <c r="G11" s="43"/>
      <c r="H11" s="43"/>
      <c r="I11" s="45"/>
      <c r="J11" s="61"/>
      <c r="K11" s="43"/>
      <c r="L11" s="43"/>
      <c r="M11" s="45"/>
      <c r="N11" s="61"/>
      <c r="O11" s="43"/>
      <c r="P11" s="43"/>
      <c r="Q11" s="45"/>
      <c r="R11" s="61"/>
      <c r="S11" s="43"/>
      <c r="T11" s="43"/>
      <c r="U11" s="45"/>
      <c r="V11" s="61"/>
      <c r="W11" s="43"/>
      <c r="X11" s="43"/>
      <c r="Y11" s="45"/>
      <c r="Z11" s="1"/>
    </row>
    <row r="12" spans="1:26" x14ac:dyDescent="0.25">
      <c r="A12" s="1"/>
      <c r="B12" s="47" t="str">
        <f>IF(Calc!$C$8=1,TEXT(IFERROR(Calc!D12/Calc!C12,0),"0.0%")&amp;" of total workforce","Total workforce")</f>
        <v>Total workforce</v>
      </c>
      <c r="C12" s="43"/>
      <c r="D12" s="43"/>
      <c r="E12" s="45"/>
      <c r="F12" s="47" t="str">
        <f>"Retained: "&amp;TEXT(Calc!D12-Calc!D13,"#,##0")</f>
        <v>Retained: 654</v>
      </c>
      <c r="G12" s="43"/>
      <c r="H12" s="43"/>
      <c r="I12" s="45"/>
      <c r="J12" s="47" t="str">
        <f>IF(Calc!$C$8=1,IF(Calc!D14&gt;=Calc!C14,"▲ ","▼ ")&amp;TEXT(ABS(Calc!D14-Calc!C14)*100,"0.0")&amp;" pp vs company",IF(Calc!D14&gt;TargetAttr,"▲ Above ","▼ Within ")&amp;"target of "&amp;TEXT(TargetAttr,"0%"))</f>
        <v>▲ Above target of 15%</v>
      </c>
      <c r="K12" s="43"/>
      <c r="L12" s="43"/>
      <c r="M12" s="45"/>
      <c r="N12" s="47" t="str">
        <f>IF(Calc!$C$8=1,IF(Calc!D15&gt;=Calc!C15,"▲ ","▼ ")&amp;TEXT(ABS(IFERROR(Calc!D15/Calc!C15-1,0)),"0.0%")&amp;" vs company","Leavers: "&amp;TEXT(Calc!E85,"$#,##0"))</f>
        <v>Leavers: $75,981</v>
      </c>
      <c r="O12" s="43"/>
      <c r="P12" s="43"/>
      <c r="Q12" s="45"/>
      <c r="R12" s="47" t="str">
        <f>IF(Calc!$C$8=1,IF(Calc!D16&gt;=Calc!C16,"▲ ","▼ ")&amp;TEXT(ABS(Calc!D16-Calc!C16),"0.00")&amp;" vs company","Scale "&amp;MIN(SatLevels)&amp;" to "&amp;MAX(SatLevels))</f>
        <v>Scale 1 to 4</v>
      </c>
      <c r="S12" s="43"/>
      <c r="T12" s="43"/>
      <c r="U12" s="45"/>
      <c r="V12" s="47" t="str">
        <f>"Promoted in last 5 yrs: "&amp;TEXT(ROUND(Calc!D17*Calc!D12,0),"#,##0")</f>
        <v>Promoted in last 5 yrs: 261</v>
      </c>
      <c r="W12" s="43"/>
      <c r="X12" s="43"/>
      <c r="Y12" s="45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77" t="s">
        <v>12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1"/>
    </row>
    <row r="15" spans="1:26" x14ac:dyDescent="0.25">
      <c r="A15" s="1"/>
      <c r="B15" s="62" t="str">
        <f>"◆   "&amp;Calc!B108</f>
        <v>◆   Attrition is 18.3% (146 of 800 employees), above the 15% target.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1"/>
    </row>
    <row r="16" spans="1:26" x14ac:dyDescent="0.25">
      <c r="A16" s="1"/>
      <c r="B16" s="62" t="str">
        <f>"◆   "&amp;Calc!B109</f>
        <v>◆   Highest-attrition department: Finance (22.9%); lowest: IT (13.2%).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1"/>
    </row>
    <row r="17" spans="1:26" x14ac:dyDescent="0.25">
      <c r="A17" s="1"/>
      <c r="B17" s="62" t="str">
        <f>"◆   "&amp;Calc!B110</f>
        <v>◆   Employees rated 1 for job satisfaction leave at 19.4% vs 16.6% for those rated 4 — a modest gap, not a strong driver of attrition.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1"/>
    </row>
    <row r="18" spans="1:26" x14ac:dyDescent="0.25">
      <c r="A18" s="1"/>
      <c r="B18" s="62" t="str">
        <f>"◆   "&amp;Calc!B111</f>
        <v>◆   Leavers earn on average $75,981 vs $74,857 for stayers (1.5% higher) — pay alone does not explain attrition.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1"/>
    </row>
    <row r="19" spans="1:26" x14ac:dyDescent="0.25">
      <c r="A19" s="1"/>
      <c r="B19" s="95" t="str">
        <f>"◆   "&amp;Calc!B112</f>
        <v>◆   Employees promoted in the last 5 years leave at 16.1% vs 19.3% for those not promoted — career progression supports retention.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77" t="s">
        <v>13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44" t="s">
        <v>14</v>
      </c>
      <c r="C23" s="43"/>
      <c r="D23" s="43"/>
      <c r="E23" s="43"/>
      <c r="F23" s="43"/>
      <c r="G23" s="43"/>
      <c r="H23" s="43"/>
      <c r="I23" s="45"/>
      <c r="J23" s="44" t="s">
        <v>15</v>
      </c>
      <c r="K23" s="43"/>
      <c r="L23" s="43"/>
      <c r="M23" s="43"/>
      <c r="N23" s="43"/>
      <c r="O23" s="43"/>
      <c r="P23" s="43"/>
      <c r="Q23" s="45"/>
      <c r="R23" s="44" t="s">
        <v>16</v>
      </c>
      <c r="S23" s="43"/>
      <c r="T23" s="43"/>
      <c r="U23" s="43"/>
      <c r="V23" s="43"/>
      <c r="W23" s="43"/>
      <c r="X23" s="43"/>
      <c r="Y23" s="45"/>
      <c r="Z23" s="1"/>
    </row>
    <row r="24" spans="1:26" x14ac:dyDescent="0.25">
      <c r="A24" s="1"/>
      <c r="B24" s="46" t="s">
        <v>17</v>
      </c>
      <c r="C24" s="43"/>
      <c r="D24" s="43"/>
      <c r="E24" s="43"/>
      <c r="F24" s="43"/>
      <c r="G24" s="43"/>
      <c r="H24" s="43"/>
      <c r="I24" s="45"/>
      <c r="J24" s="46" t="s">
        <v>18</v>
      </c>
      <c r="K24" s="43"/>
      <c r="L24" s="43"/>
      <c r="M24" s="43"/>
      <c r="N24" s="43"/>
      <c r="O24" s="43"/>
      <c r="P24" s="43"/>
      <c r="Q24" s="45"/>
      <c r="R24" s="46" t="s">
        <v>19</v>
      </c>
      <c r="S24" s="43"/>
      <c r="T24" s="43"/>
      <c r="U24" s="43"/>
      <c r="V24" s="43"/>
      <c r="W24" s="43"/>
      <c r="X24" s="43"/>
      <c r="Y24" s="45"/>
      <c r="Z24" s="1"/>
    </row>
    <row r="25" spans="1:26" x14ac:dyDescent="0.25">
      <c r="A25" s="1"/>
      <c r="B25" s="2"/>
      <c r="C25" s="3"/>
      <c r="D25" s="3"/>
      <c r="E25" s="3"/>
      <c r="F25" s="3"/>
      <c r="G25" s="3"/>
      <c r="H25" s="3"/>
      <c r="I25" s="4"/>
      <c r="J25" s="2"/>
      <c r="K25" s="3"/>
      <c r="L25" s="3"/>
      <c r="M25" s="3"/>
      <c r="N25" s="3"/>
      <c r="O25" s="3"/>
      <c r="P25" s="3"/>
      <c r="Q25" s="4"/>
      <c r="R25" s="2"/>
      <c r="S25" s="3"/>
      <c r="T25" s="3"/>
      <c r="U25" s="3"/>
      <c r="V25" s="3"/>
      <c r="W25" s="3"/>
      <c r="X25" s="3"/>
      <c r="Y25" s="4"/>
      <c r="Z25" s="1"/>
    </row>
    <row r="26" spans="1:26" x14ac:dyDescent="0.25">
      <c r="A26" s="1"/>
      <c r="B26" s="2"/>
      <c r="C26" s="3"/>
      <c r="D26" s="3"/>
      <c r="E26" s="3"/>
      <c r="F26" s="3"/>
      <c r="G26" s="3"/>
      <c r="H26" s="3"/>
      <c r="I26" s="4"/>
      <c r="J26" s="2"/>
      <c r="K26" s="3"/>
      <c r="L26" s="3"/>
      <c r="M26" s="3"/>
      <c r="N26" s="3"/>
      <c r="O26" s="3"/>
      <c r="P26" s="3"/>
      <c r="Q26" s="4"/>
      <c r="R26" s="2"/>
      <c r="S26" s="3"/>
      <c r="T26" s="3"/>
      <c r="U26" s="3"/>
      <c r="V26" s="3"/>
      <c r="W26" s="3"/>
      <c r="X26" s="3"/>
      <c r="Y26" s="4"/>
      <c r="Z26" s="1"/>
    </row>
    <row r="27" spans="1:26" x14ac:dyDescent="0.25">
      <c r="A27" s="1"/>
      <c r="B27" s="2"/>
      <c r="C27" s="3"/>
      <c r="D27" s="3"/>
      <c r="E27" s="3"/>
      <c r="F27" s="3"/>
      <c r="G27" s="3"/>
      <c r="H27" s="3"/>
      <c r="I27" s="4"/>
      <c r="J27" s="2"/>
      <c r="K27" s="3"/>
      <c r="L27" s="3"/>
      <c r="M27" s="3"/>
      <c r="N27" s="3"/>
      <c r="O27" s="3"/>
      <c r="P27" s="3"/>
      <c r="Q27" s="4"/>
      <c r="R27" s="2"/>
      <c r="S27" s="3"/>
      <c r="T27" s="3"/>
      <c r="U27" s="3"/>
      <c r="V27" s="3"/>
      <c r="W27" s="3"/>
      <c r="X27" s="3"/>
      <c r="Y27" s="4"/>
      <c r="Z27" s="1"/>
    </row>
    <row r="28" spans="1:26" x14ac:dyDescent="0.25">
      <c r="A28" s="1"/>
      <c r="B28" s="2"/>
      <c r="C28" s="3"/>
      <c r="D28" s="3"/>
      <c r="E28" s="3"/>
      <c r="F28" s="3"/>
      <c r="G28" s="3"/>
      <c r="H28" s="3"/>
      <c r="I28" s="4"/>
      <c r="J28" s="2"/>
      <c r="K28" s="3"/>
      <c r="L28" s="3"/>
      <c r="M28" s="3"/>
      <c r="N28" s="3"/>
      <c r="O28" s="3"/>
      <c r="P28" s="3"/>
      <c r="Q28" s="4"/>
      <c r="R28" s="2"/>
      <c r="S28" s="3"/>
      <c r="T28" s="3"/>
      <c r="U28" s="3"/>
      <c r="V28" s="3"/>
      <c r="W28" s="3"/>
      <c r="X28" s="3"/>
      <c r="Y28" s="4"/>
      <c r="Z28" s="1"/>
    </row>
    <row r="29" spans="1:26" x14ac:dyDescent="0.25">
      <c r="A29" s="1"/>
      <c r="B29" s="2"/>
      <c r="C29" s="3"/>
      <c r="D29" s="3"/>
      <c r="E29" s="3"/>
      <c r="F29" s="3"/>
      <c r="G29" s="3"/>
      <c r="H29" s="3"/>
      <c r="I29" s="4"/>
      <c r="J29" s="2"/>
      <c r="K29" s="3"/>
      <c r="L29" s="3"/>
      <c r="M29" s="3"/>
      <c r="N29" s="3"/>
      <c r="O29" s="3"/>
      <c r="P29" s="3"/>
      <c r="Q29" s="4"/>
      <c r="R29" s="2"/>
      <c r="S29" s="3"/>
      <c r="T29" s="3"/>
      <c r="U29" s="3"/>
      <c r="V29" s="3"/>
      <c r="W29" s="3"/>
      <c r="X29" s="3"/>
      <c r="Y29" s="4"/>
      <c r="Z29" s="1"/>
    </row>
    <row r="30" spans="1:26" x14ac:dyDescent="0.25">
      <c r="A30" s="1"/>
      <c r="B30" s="2"/>
      <c r="C30" s="3"/>
      <c r="D30" s="3"/>
      <c r="E30" s="3"/>
      <c r="F30" s="3"/>
      <c r="G30" s="3"/>
      <c r="H30" s="3"/>
      <c r="I30" s="4"/>
      <c r="J30" s="2"/>
      <c r="K30" s="3"/>
      <c r="L30" s="3"/>
      <c r="M30" s="3"/>
      <c r="N30" s="3"/>
      <c r="O30" s="3"/>
      <c r="P30" s="3"/>
      <c r="Q30" s="4"/>
      <c r="R30" s="2"/>
      <c r="S30" s="3"/>
      <c r="T30" s="3"/>
      <c r="U30" s="3"/>
      <c r="V30" s="3"/>
      <c r="W30" s="3"/>
      <c r="X30" s="3"/>
      <c r="Y30" s="4"/>
      <c r="Z30" s="1"/>
    </row>
    <row r="31" spans="1:26" x14ac:dyDescent="0.25">
      <c r="A31" s="1"/>
      <c r="B31" s="2"/>
      <c r="C31" s="3"/>
      <c r="D31" s="3"/>
      <c r="E31" s="3"/>
      <c r="F31" s="3"/>
      <c r="G31" s="3"/>
      <c r="H31" s="3"/>
      <c r="I31" s="4"/>
      <c r="J31" s="2"/>
      <c r="K31" s="3"/>
      <c r="L31" s="3"/>
      <c r="M31" s="3"/>
      <c r="N31" s="3"/>
      <c r="O31" s="3"/>
      <c r="P31" s="3"/>
      <c r="Q31" s="4"/>
      <c r="R31" s="2"/>
      <c r="S31" s="3"/>
      <c r="T31" s="3"/>
      <c r="U31" s="3"/>
      <c r="V31" s="3"/>
      <c r="W31" s="3"/>
      <c r="X31" s="3"/>
      <c r="Y31" s="4"/>
      <c r="Z31" s="1"/>
    </row>
    <row r="32" spans="1:26" x14ac:dyDescent="0.25">
      <c r="A32" s="1"/>
      <c r="B32" s="2"/>
      <c r="C32" s="3"/>
      <c r="D32" s="3"/>
      <c r="E32" s="3"/>
      <c r="F32" s="3"/>
      <c r="G32" s="3"/>
      <c r="H32" s="3"/>
      <c r="I32" s="4"/>
      <c r="J32" s="2"/>
      <c r="K32" s="3"/>
      <c r="L32" s="3"/>
      <c r="M32" s="3"/>
      <c r="N32" s="3"/>
      <c r="O32" s="3"/>
      <c r="P32" s="3"/>
      <c r="Q32" s="4"/>
      <c r="R32" s="2"/>
      <c r="S32" s="3"/>
      <c r="T32" s="3"/>
      <c r="U32" s="3"/>
      <c r="V32" s="3"/>
      <c r="W32" s="3"/>
      <c r="X32" s="3"/>
      <c r="Y32" s="4"/>
      <c r="Z32" s="1"/>
    </row>
    <row r="33" spans="1:26" x14ac:dyDescent="0.25">
      <c r="A33" s="1"/>
      <c r="B33" s="2"/>
      <c r="C33" s="3"/>
      <c r="D33" s="3"/>
      <c r="E33" s="3"/>
      <c r="F33" s="3"/>
      <c r="G33" s="3"/>
      <c r="H33" s="3"/>
      <c r="I33" s="4"/>
      <c r="J33" s="2"/>
      <c r="K33" s="3"/>
      <c r="L33" s="3"/>
      <c r="M33" s="3"/>
      <c r="N33" s="3"/>
      <c r="O33" s="3"/>
      <c r="P33" s="3"/>
      <c r="Q33" s="4"/>
      <c r="R33" s="2"/>
      <c r="S33" s="3"/>
      <c r="T33" s="3"/>
      <c r="U33" s="3"/>
      <c r="V33" s="3"/>
      <c r="W33" s="3"/>
      <c r="X33" s="3"/>
      <c r="Y33" s="4"/>
      <c r="Z33" s="1"/>
    </row>
    <row r="34" spans="1:26" x14ac:dyDescent="0.25">
      <c r="A34" s="1"/>
      <c r="B34" s="2"/>
      <c r="C34" s="3"/>
      <c r="D34" s="3"/>
      <c r="E34" s="3"/>
      <c r="F34" s="3"/>
      <c r="G34" s="3"/>
      <c r="H34" s="3"/>
      <c r="I34" s="4"/>
      <c r="J34" s="2"/>
      <c r="K34" s="3"/>
      <c r="L34" s="3"/>
      <c r="M34" s="3"/>
      <c r="N34" s="3"/>
      <c r="O34" s="3"/>
      <c r="P34" s="3"/>
      <c r="Q34" s="4"/>
      <c r="R34" s="2"/>
      <c r="S34" s="3"/>
      <c r="T34" s="3"/>
      <c r="U34" s="3"/>
      <c r="V34" s="3"/>
      <c r="W34" s="3"/>
      <c r="X34" s="3"/>
      <c r="Y34" s="4"/>
      <c r="Z34" s="1"/>
    </row>
    <row r="35" spans="1:26" x14ac:dyDescent="0.25">
      <c r="A35" s="1"/>
      <c r="B35" s="2"/>
      <c r="C35" s="3"/>
      <c r="D35" s="3"/>
      <c r="E35" s="3"/>
      <c r="F35" s="3"/>
      <c r="G35" s="3"/>
      <c r="H35" s="3"/>
      <c r="I35" s="4"/>
      <c r="J35" s="2"/>
      <c r="K35" s="3"/>
      <c r="L35" s="3"/>
      <c r="M35" s="3"/>
      <c r="N35" s="3"/>
      <c r="O35" s="3"/>
      <c r="P35" s="3"/>
      <c r="Q35" s="4"/>
      <c r="R35" s="2"/>
      <c r="S35" s="3"/>
      <c r="T35" s="3"/>
      <c r="U35" s="3"/>
      <c r="V35" s="3"/>
      <c r="W35" s="3"/>
      <c r="X35" s="3"/>
      <c r="Y35" s="4"/>
      <c r="Z35" s="1"/>
    </row>
    <row r="36" spans="1:26" x14ac:dyDescent="0.25">
      <c r="A36" s="1"/>
      <c r="B36" s="2"/>
      <c r="C36" s="3"/>
      <c r="D36" s="3"/>
      <c r="E36" s="3"/>
      <c r="F36" s="3"/>
      <c r="G36" s="3"/>
      <c r="H36" s="3"/>
      <c r="I36" s="4"/>
      <c r="J36" s="2"/>
      <c r="K36" s="3"/>
      <c r="L36" s="3"/>
      <c r="M36" s="3"/>
      <c r="N36" s="3"/>
      <c r="O36" s="3"/>
      <c r="P36" s="3"/>
      <c r="Q36" s="4"/>
      <c r="R36" s="2"/>
      <c r="S36" s="3"/>
      <c r="T36" s="3"/>
      <c r="U36" s="3"/>
      <c r="V36" s="3"/>
      <c r="W36" s="3"/>
      <c r="X36" s="3"/>
      <c r="Y36" s="4"/>
      <c r="Z36" s="1"/>
    </row>
    <row r="37" spans="1:26" x14ac:dyDescent="0.25">
      <c r="A37" s="1"/>
      <c r="B37" s="2"/>
      <c r="C37" s="3"/>
      <c r="D37" s="3"/>
      <c r="E37" s="3"/>
      <c r="F37" s="3"/>
      <c r="G37" s="3"/>
      <c r="H37" s="3"/>
      <c r="I37" s="4"/>
      <c r="J37" s="2"/>
      <c r="K37" s="3"/>
      <c r="L37" s="3"/>
      <c r="M37" s="3"/>
      <c r="N37" s="3"/>
      <c r="O37" s="3"/>
      <c r="P37" s="3"/>
      <c r="Q37" s="4"/>
      <c r="R37" s="2"/>
      <c r="S37" s="3"/>
      <c r="T37" s="3"/>
      <c r="U37" s="3"/>
      <c r="V37" s="3"/>
      <c r="W37" s="3"/>
      <c r="X37" s="3"/>
      <c r="Y37" s="4"/>
      <c r="Z37" s="1"/>
    </row>
    <row r="38" spans="1:26" ht="4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44" t="s">
        <v>20</v>
      </c>
      <c r="C39" s="43"/>
      <c r="D39" s="43"/>
      <c r="E39" s="43"/>
      <c r="F39" s="43"/>
      <c r="G39" s="43"/>
      <c r="H39" s="43"/>
      <c r="I39" s="45"/>
      <c r="J39" s="44" t="s">
        <v>21</v>
      </c>
      <c r="K39" s="43"/>
      <c r="L39" s="43"/>
      <c r="M39" s="43"/>
      <c r="N39" s="43"/>
      <c r="O39" s="43"/>
      <c r="P39" s="43"/>
      <c r="Q39" s="45"/>
      <c r="R39" s="44" t="s">
        <v>22</v>
      </c>
      <c r="S39" s="43"/>
      <c r="T39" s="43"/>
      <c r="U39" s="43"/>
      <c r="V39" s="43"/>
      <c r="W39" s="43"/>
      <c r="X39" s="43"/>
      <c r="Y39" s="45"/>
      <c r="Z39" s="1"/>
    </row>
    <row r="40" spans="1:26" x14ac:dyDescent="0.25">
      <c r="A40" s="1"/>
      <c r="B40" s="46" t="s">
        <v>23</v>
      </c>
      <c r="C40" s="43"/>
      <c r="D40" s="43"/>
      <c r="E40" s="43"/>
      <c r="F40" s="43"/>
      <c r="G40" s="43"/>
      <c r="H40" s="43"/>
      <c r="I40" s="45"/>
      <c r="J40" s="46" t="s">
        <v>24</v>
      </c>
      <c r="K40" s="43"/>
      <c r="L40" s="43"/>
      <c r="M40" s="43"/>
      <c r="N40" s="43"/>
      <c r="O40" s="43"/>
      <c r="P40" s="43"/>
      <c r="Q40" s="45"/>
      <c r="R40" s="46" t="s">
        <v>25</v>
      </c>
      <c r="S40" s="43"/>
      <c r="T40" s="43"/>
      <c r="U40" s="43"/>
      <c r="V40" s="43"/>
      <c r="W40" s="43"/>
      <c r="X40" s="43"/>
      <c r="Y40" s="45"/>
      <c r="Z40" s="1"/>
    </row>
    <row r="41" spans="1:26" x14ac:dyDescent="0.25">
      <c r="A41" s="1"/>
      <c r="B41" s="2"/>
      <c r="C41" s="3"/>
      <c r="D41" s="3"/>
      <c r="E41" s="3"/>
      <c r="F41" s="3"/>
      <c r="G41" s="3"/>
      <c r="H41" s="3"/>
      <c r="I41" s="4"/>
      <c r="J41" s="2"/>
      <c r="K41" s="3"/>
      <c r="L41" s="3"/>
      <c r="M41" s="3"/>
      <c r="N41" s="3"/>
      <c r="O41" s="3"/>
      <c r="P41" s="3"/>
      <c r="Q41" s="4"/>
      <c r="R41" s="85" t="s">
        <v>26</v>
      </c>
      <c r="S41" s="86"/>
      <c r="T41" s="86"/>
      <c r="U41" s="5" t="str">
        <f>"Rating "&amp;Calc!C96</f>
        <v>Rating 1</v>
      </c>
      <c r="V41" s="5" t="str">
        <f>"Rating "&amp;Calc!D96</f>
        <v>Rating 2</v>
      </c>
      <c r="W41" s="5" t="str">
        <f>"Rating "&amp;Calc!E96</f>
        <v>Rating 3</v>
      </c>
      <c r="X41" s="5" t="str">
        <f>"Rating "&amp;Calc!F96</f>
        <v>Rating 4</v>
      </c>
      <c r="Y41" s="6" t="s">
        <v>27</v>
      </c>
      <c r="Z41" s="1"/>
    </row>
    <row r="42" spans="1:26" x14ac:dyDescent="0.25">
      <c r="A42" s="1"/>
      <c r="B42" s="2"/>
      <c r="C42" s="3"/>
      <c r="D42" s="3"/>
      <c r="E42" s="3"/>
      <c r="F42" s="3"/>
      <c r="G42" s="3"/>
      <c r="H42" s="3"/>
      <c r="I42" s="4"/>
      <c r="J42" s="2"/>
      <c r="K42" s="3"/>
      <c r="L42" s="3"/>
      <c r="M42" s="3"/>
      <c r="N42" s="3"/>
      <c r="O42" s="3"/>
      <c r="P42" s="3"/>
      <c r="Q42" s="4"/>
      <c r="R42" s="71" t="str">
        <f>Calc!B97</f>
        <v>Finance</v>
      </c>
      <c r="S42" s="72"/>
      <c r="T42" s="72"/>
      <c r="U42" s="7">
        <f>Calc!C97</f>
        <v>0.29166666666666669</v>
      </c>
      <c r="V42" s="7">
        <f>Calc!D97</f>
        <v>0.32258064516129031</v>
      </c>
      <c r="W42" s="7">
        <f>Calc!E97</f>
        <v>0.16279069767441862</v>
      </c>
      <c r="X42" s="7">
        <f>Calc!F97</f>
        <v>0.16666666666666666</v>
      </c>
      <c r="Y42" s="8">
        <f>Calc!G97</f>
        <v>0.22941176470588234</v>
      </c>
      <c r="Z42" s="1"/>
    </row>
    <row r="43" spans="1:26" x14ac:dyDescent="0.25">
      <c r="A43" s="1"/>
      <c r="B43" s="2"/>
      <c r="C43" s="3"/>
      <c r="D43" s="3"/>
      <c r="E43" s="3"/>
      <c r="F43" s="3"/>
      <c r="G43" s="3"/>
      <c r="H43" s="3"/>
      <c r="I43" s="4"/>
      <c r="J43" s="2"/>
      <c r="K43" s="3"/>
      <c r="L43" s="3"/>
      <c r="M43" s="3"/>
      <c r="N43" s="3"/>
      <c r="O43" s="3"/>
      <c r="P43" s="3"/>
      <c r="Q43" s="4"/>
      <c r="R43" s="71" t="str">
        <f>Calc!B98</f>
        <v>HR</v>
      </c>
      <c r="S43" s="72"/>
      <c r="T43" s="72"/>
      <c r="U43" s="7">
        <f>Calc!C98</f>
        <v>0.19047619047619047</v>
      </c>
      <c r="V43" s="7">
        <f>Calc!D98</f>
        <v>0.23255813953488372</v>
      </c>
      <c r="W43" s="7">
        <f>Calc!E98</f>
        <v>0.17499999999999999</v>
      </c>
      <c r="X43" s="7">
        <f>Calc!F98</f>
        <v>0.12244897959183673</v>
      </c>
      <c r="Y43" s="8">
        <f>Calc!G98</f>
        <v>0.17816091954022989</v>
      </c>
      <c r="Z43" s="1"/>
    </row>
    <row r="44" spans="1:26" x14ac:dyDescent="0.25">
      <c r="A44" s="1"/>
      <c r="B44" s="2"/>
      <c r="C44" s="3"/>
      <c r="D44" s="3"/>
      <c r="E44" s="3"/>
      <c r="F44" s="3"/>
      <c r="G44" s="3"/>
      <c r="H44" s="3"/>
      <c r="I44" s="4"/>
      <c r="J44" s="2"/>
      <c r="K44" s="3"/>
      <c r="L44" s="3"/>
      <c r="M44" s="3"/>
      <c r="N44" s="3"/>
      <c r="O44" s="3"/>
      <c r="P44" s="3"/>
      <c r="Q44" s="4"/>
      <c r="R44" s="71" t="str">
        <f>Calc!B99</f>
        <v>IT</v>
      </c>
      <c r="S44" s="72"/>
      <c r="T44" s="72"/>
      <c r="U44" s="7">
        <f>Calc!C99</f>
        <v>0.10869565217391304</v>
      </c>
      <c r="V44" s="7">
        <f>Calc!D99</f>
        <v>0</v>
      </c>
      <c r="W44" s="7">
        <f>Calc!E99</f>
        <v>0.29411764705882354</v>
      </c>
      <c r="X44" s="7">
        <f>Calc!F99</f>
        <v>0.13636363636363635</v>
      </c>
      <c r="Y44" s="8">
        <f>Calc!G99</f>
        <v>0.13207547169811321</v>
      </c>
      <c r="Z44" s="1"/>
    </row>
    <row r="45" spans="1:26" x14ac:dyDescent="0.25">
      <c r="A45" s="1"/>
      <c r="B45" s="2"/>
      <c r="C45" s="3"/>
      <c r="D45" s="3"/>
      <c r="E45" s="3"/>
      <c r="F45" s="3"/>
      <c r="G45" s="3"/>
      <c r="H45" s="3"/>
      <c r="I45" s="4"/>
      <c r="J45" s="2"/>
      <c r="K45" s="3"/>
      <c r="L45" s="3"/>
      <c r="M45" s="3"/>
      <c r="N45" s="3"/>
      <c r="O45" s="3"/>
      <c r="P45" s="3"/>
      <c r="Q45" s="4"/>
      <c r="R45" s="71" t="str">
        <f>Calc!B100</f>
        <v>Operations</v>
      </c>
      <c r="S45" s="72"/>
      <c r="T45" s="72"/>
      <c r="U45" s="7">
        <f>Calc!C100</f>
        <v>0.19047619047619047</v>
      </c>
      <c r="V45" s="7">
        <f>Calc!D100</f>
        <v>0.14705882352941177</v>
      </c>
      <c r="W45" s="7">
        <f>Calc!E100</f>
        <v>0.14705882352941177</v>
      </c>
      <c r="X45" s="7">
        <f>Calc!F100</f>
        <v>0.15625</v>
      </c>
      <c r="Y45" s="8">
        <f>Calc!G100</f>
        <v>0.1619718309859155</v>
      </c>
      <c r="Z45" s="1"/>
    </row>
    <row r="46" spans="1:26" x14ac:dyDescent="0.25">
      <c r="A46" s="1"/>
      <c r="B46" s="2"/>
      <c r="C46" s="3"/>
      <c r="D46" s="3"/>
      <c r="E46" s="3"/>
      <c r="F46" s="3"/>
      <c r="G46" s="3"/>
      <c r="H46" s="3"/>
      <c r="I46" s="4"/>
      <c r="J46" s="2"/>
      <c r="K46" s="3"/>
      <c r="L46" s="3"/>
      <c r="M46" s="3"/>
      <c r="N46" s="3"/>
      <c r="O46" s="3"/>
      <c r="P46" s="3"/>
      <c r="Q46" s="4"/>
      <c r="R46" s="71" t="str">
        <f>Calc!B101</f>
        <v>Sales</v>
      </c>
      <c r="S46" s="72"/>
      <c r="T46" s="72"/>
      <c r="U46" s="7">
        <f>Calc!C101</f>
        <v>0.18421052631578946</v>
      </c>
      <c r="V46" s="7">
        <f>Calc!D101</f>
        <v>0.15384615384615385</v>
      </c>
      <c r="W46" s="7">
        <f>Calc!E101</f>
        <v>0.22500000000000001</v>
      </c>
      <c r="X46" s="7">
        <f>Calc!F101</f>
        <v>0.26315789473684209</v>
      </c>
      <c r="Y46" s="8">
        <f>Calc!G101</f>
        <v>0.20645161290322581</v>
      </c>
      <c r="Z46" s="1"/>
    </row>
    <row r="47" spans="1:26" x14ac:dyDescent="0.25">
      <c r="A47" s="1"/>
      <c r="B47" s="2"/>
      <c r="C47" s="3"/>
      <c r="D47" s="3"/>
      <c r="E47" s="3"/>
      <c r="F47" s="3"/>
      <c r="G47" s="3"/>
      <c r="H47" s="3"/>
      <c r="I47" s="4"/>
      <c r="J47" s="2"/>
      <c r="K47" s="3"/>
      <c r="L47" s="3"/>
      <c r="M47" s="3"/>
      <c r="N47" s="3"/>
      <c r="O47" s="3"/>
      <c r="P47" s="3"/>
      <c r="Q47" s="4"/>
      <c r="R47" s="71" t="str">
        <f>Calc!B102</f>
        <v/>
      </c>
      <c r="S47" s="72"/>
      <c r="T47" s="72"/>
      <c r="U47" s="7" t="str">
        <f>Calc!C102</f>
        <v/>
      </c>
      <c r="V47" s="7" t="str">
        <f>Calc!D102</f>
        <v/>
      </c>
      <c r="W47" s="7" t="str">
        <f>Calc!E102</f>
        <v/>
      </c>
      <c r="X47" s="7" t="str">
        <f>Calc!F102</f>
        <v/>
      </c>
      <c r="Y47" s="8" t="str">
        <f>Calc!G102</f>
        <v/>
      </c>
      <c r="Z47" s="1"/>
    </row>
    <row r="48" spans="1:26" x14ac:dyDescent="0.25">
      <c r="A48" s="1"/>
      <c r="B48" s="2"/>
      <c r="C48" s="3"/>
      <c r="D48" s="3"/>
      <c r="E48" s="3"/>
      <c r="F48" s="3"/>
      <c r="G48" s="3"/>
      <c r="H48" s="3"/>
      <c r="I48" s="4"/>
      <c r="J48" s="2"/>
      <c r="K48" s="3"/>
      <c r="L48" s="3"/>
      <c r="M48" s="3"/>
      <c r="N48" s="3"/>
      <c r="O48" s="3"/>
      <c r="P48" s="3"/>
      <c r="Q48" s="4"/>
      <c r="R48" s="71" t="str">
        <f>Calc!B103</f>
        <v/>
      </c>
      <c r="S48" s="72"/>
      <c r="T48" s="72"/>
      <c r="U48" s="7" t="str">
        <f>Calc!C103</f>
        <v/>
      </c>
      <c r="V48" s="7" t="str">
        <f>Calc!D103</f>
        <v/>
      </c>
      <c r="W48" s="7" t="str">
        <f>Calc!E103</f>
        <v/>
      </c>
      <c r="X48" s="7" t="str">
        <f>Calc!F103</f>
        <v/>
      </c>
      <c r="Y48" s="8" t="str">
        <f>Calc!G103</f>
        <v/>
      </c>
      <c r="Z48" s="1"/>
    </row>
    <row r="49" spans="1:26" x14ac:dyDescent="0.25">
      <c r="A49" s="1"/>
      <c r="B49" s="2"/>
      <c r="C49" s="3"/>
      <c r="D49" s="3"/>
      <c r="E49" s="3"/>
      <c r="F49" s="3"/>
      <c r="G49" s="3"/>
      <c r="H49" s="3"/>
      <c r="I49" s="4"/>
      <c r="J49" s="2"/>
      <c r="K49" s="3"/>
      <c r="L49" s="3"/>
      <c r="M49" s="3"/>
      <c r="N49" s="3"/>
      <c r="O49" s="3"/>
      <c r="P49" s="3"/>
      <c r="Q49" s="4"/>
      <c r="R49" s="71" t="str">
        <f>Calc!B104</f>
        <v/>
      </c>
      <c r="S49" s="72"/>
      <c r="T49" s="72"/>
      <c r="U49" s="7" t="str">
        <f>Calc!C104</f>
        <v/>
      </c>
      <c r="V49" s="7" t="str">
        <f>Calc!D104</f>
        <v/>
      </c>
      <c r="W49" s="7" t="str">
        <f>Calc!E104</f>
        <v/>
      </c>
      <c r="X49" s="7" t="str">
        <f>Calc!F104</f>
        <v/>
      </c>
      <c r="Y49" s="8" t="str">
        <f>Calc!G104</f>
        <v/>
      </c>
      <c r="Z49" s="1"/>
    </row>
    <row r="50" spans="1:26" x14ac:dyDescent="0.25">
      <c r="A50" s="1"/>
      <c r="B50" s="2"/>
      <c r="C50" s="3"/>
      <c r="D50" s="3"/>
      <c r="E50" s="3"/>
      <c r="F50" s="3"/>
      <c r="G50" s="3"/>
      <c r="H50" s="3"/>
      <c r="I50" s="4"/>
      <c r="J50" s="2"/>
      <c r="K50" s="3"/>
      <c r="L50" s="3"/>
      <c r="M50" s="3"/>
      <c r="N50" s="3"/>
      <c r="O50" s="3"/>
      <c r="P50" s="3"/>
      <c r="Q50" s="4"/>
      <c r="R50" s="2"/>
      <c r="S50" s="3"/>
      <c r="T50" s="3"/>
      <c r="U50" s="3"/>
      <c r="V50" s="3"/>
      <c r="W50" s="3"/>
      <c r="X50" s="3"/>
      <c r="Y50" s="4"/>
      <c r="Z50" s="1"/>
    </row>
    <row r="51" spans="1:26" x14ac:dyDescent="0.25">
      <c r="A51" s="1"/>
      <c r="B51" s="2"/>
      <c r="C51" s="3"/>
      <c r="D51" s="3"/>
      <c r="E51" s="3"/>
      <c r="F51" s="3"/>
      <c r="G51" s="3"/>
      <c r="H51" s="3"/>
      <c r="I51" s="4"/>
      <c r="J51" s="2"/>
      <c r="K51" s="3"/>
      <c r="L51" s="3"/>
      <c r="M51" s="3"/>
      <c r="N51" s="3"/>
      <c r="O51" s="3"/>
      <c r="P51" s="3"/>
      <c r="Q51" s="4"/>
      <c r="R51" s="82" t="s">
        <v>28</v>
      </c>
      <c r="S51" s="43"/>
      <c r="T51" s="43"/>
      <c r="U51" s="43"/>
      <c r="V51" s="43"/>
      <c r="W51" s="43"/>
      <c r="X51" s="43"/>
      <c r="Y51" s="45"/>
      <c r="Z51" s="1"/>
    </row>
    <row r="52" spans="1:26" x14ac:dyDescent="0.25">
      <c r="A52" s="1"/>
      <c r="B52" s="2"/>
      <c r="C52" s="3"/>
      <c r="D52" s="3"/>
      <c r="E52" s="3"/>
      <c r="F52" s="3"/>
      <c r="G52" s="3"/>
      <c r="H52" s="3"/>
      <c r="I52" s="4"/>
      <c r="J52" s="2"/>
      <c r="K52" s="3"/>
      <c r="L52" s="3"/>
      <c r="M52" s="3"/>
      <c r="N52" s="3"/>
      <c r="O52" s="3"/>
      <c r="P52" s="3"/>
      <c r="Q52" s="4"/>
      <c r="R52" s="61"/>
      <c r="S52" s="43"/>
      <c r="T52" s="43"/>
      <c r="U52" s="43"/>
      <c r="V52" s="43"/>
      <c r="W52" s="43"/>
      <c r="X52" s="43"/>
      <c r="Y52" s="45"/>
      <c r="Z52" s="1"/>
    </row>
    <row r="53" spans="1:26" x14ac:dyDescent="0.25">
      <c r="A53" s="1"/>
      <c r="B53" s="2"/>
      <c r="C53" s="3"/>
      <c r="D53" s="3"/>
      <c r="E53" s="3"/>
      <c r="F53" s="3"/>
      <c r="G53" s="3"/>
      <c r="H53" s="3"/>
      <c r="I53" s="4"/>
      <c r="J53" s="2"/>
      <c r="K53" s="3"/>
      <c r="L53" s="3"/>
      <c r="M53" s="3"/>
      <c r="N53" s="3"/>
      <c r="O53" s="3"/>
      <c r="P53" s="3"/>
      <c r="Q53" s="4"/>
      <c r="R53" s="2"/>
      <c r="S53" s="3"/>
      <c r="T53" s="3"/>
      <c r="U53" s="3"/>
      <c r="V53" s="3"/>
      <c r="W53" s="3"/>
      <c r="X53" s="3"/>
      <c r="Y53" s="4"/>
      <c r="Z53" s="1"/>
    </row>
    <row r="54" spans="1:26" ht="34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77" t="s">
        <v>29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44" t="s">
        <v>30</v>
      </c>
      <c r="C57" s="43"/>
      <c r="D57" s="43"/>
      <c r="E57" s="43"/>
      <c r="F57" s="43"/>
      <c r="G57" s="43"/>
      <c r="H57" s="43"/>
      <c r="I57" s="45"/>
      <c r="J57" s="44" t="s">
        <v>31</v>
      </c>
      <c r="K57" s="43"/>
      <c r="L57" s="43"/>
      <c r="M57" s="43"/>
      <c r="N57" s="43"/>
      <c r="O57" s="43"/>
      <c r="P57" s="43"/>
      <c r="Q57" s="45"/>
      <c r="R57" s="44" t="s">
        <v>32</v>
      </c>
      <c r="S57" s="43"/>
      <c r="T57" s="43"/>
      <c r="U57" s="43"/>
      <c r="V57" s="43"/>
      <c r="W57" s="43"/>
      <c r="X57" s="43"/>
      <c r="Y57" s="45"/>
      <c r="Z57" s="1"/>
    </row>
    <row r="58" spans="1:26" x14ac:dyDescent="0.25">
      <c r="A58" s="1"/>
      <c r="B58" s="46" t="s">
        <v>33</v>
      </c>
      <c r="C58" s="43"/>
      <c r="D58" s="43"/>
      <c r="E58" s="43"/>
      <c r="F58" s="43"/>
      <c r="G58" s="43"/>
      <c r="H58" s="43"/>
      <c r="I58" s="45"/>
      <c r="J58" s="46" t="s">
        <v>17</v>
      </c>
      <c r="K58" s="43"/>
      <c r="L58" s="43"/>
      <c r="M58" s="43"/>
      <c r="N58" s="43"/>
      <c r="O58" s="43"/>
      <c r="P58" s="43"/>
      <c r="Q58" s="45"/>
      <c r="R58" s="46" t="s">
        <v>34</v>
      </c>
      <c r="S58" s="43"/>
      <c r="T58" s="43"/>
      <c r="U58" s="43"/>
      <c r="V58" s="43"/>
      <c r="W58" s="43"/>
      <c r="X58" s="43"/>
      <c r="Y58" s="45"/>
      <c r="Z58" s="1"/>
    </row>
    <row r="59" spans="1:26" x14ac:dyDescent="0.25">
      <c r="A59" s="1"/>
      <c r="B59" s="2"/>
      <c r="C59" s="3"/>
      <c r="D59" s="3"/>
      <c r="E59" s="3"/>
      <c r="F59" s="3"/>
      <c r="G59" s="3"/>
      <c r="H59" s="3"/>
      <c r="I59" s="4"/>
      <c r="J59" s="2"/>
      <c r="K59" s="3"/>
      <c r="L59" s="3"/>
      <c r="M59" s="3"/>
      <c r="N59" s="3"/>
      <c r="O59" s="3"/>
      <c r="P59" s="3"/>
      <c r="Q59" s="4"/>
      <c r="R59" s="2"/>
      <c r="S59" s="3"/>
      <c r="T59" s="3"/>
      <c r="U59" s="3"/>
      <c r="V59" s="3"/>
      <c r="W59" s="3"/>
      <c r="X59" s="3"/>
      <c r="Y59" s="4"/>
      <c r="Z59" s="1"/>
    </row>
    <row r="60" spans="1:26" x14ac:dyDescent="0.25">
      <c r="A60" s="1"/>
      <c r="B60" s="2"/>
      <c r="C60" s="3"/>
      <c r="D60" s="3"/>
      <c r="E60" s="3"/>
      <c r="F60" s="3"/>
      <c r="G60" s="3"/>
      <c r="H60" s="3"/>
      <c r="I60" s="4"/>
      <c r="J60" s="2"/>
      <c r="K60" s="3"/>
      <c r="L60" s="3"/>
      <c r="M60" s="3"/>
      <c r="N60" s="3"/>
      <c r="O60" s="3"/>
      <c r="P60" s="3"/>
      <c r="Q60" s="4"/>
      <c r="R60" s="2"/>
      <c r="S60" s="3"/>
      <c r="T60" s="3"/>
      <c r="U60" s="3"/>
      <c r="V60" s="3"/>
      <c r="W60" s="3"/>
      <c r="X60" s="3"/>
      <c r="Y60" s="4"/>
      <c r="Z60" s="1"/>
    </row>
    <row r="61" spans="1:26" x14ac:dyDescent="0.25">
      <c r="A61" s="1"/>
      <c r="B61" s="2"/>
      <c r="C61" s="3"/>
      <c r="D61" s="3"/>
      <c r="E61" s="3"/>
      <c r="F61" s="3"/>
      <c r="G61" s="3"/>
      <c r="H61" s="3"/>
      <c r="I61" s="4"/>
      <c r="J61" s="2"/>
      <c r="K61" s="3"/>
      <c r="L61" s="3"/>
      <c r="M61" s="3"/>
      <c r="N61" s="3"/>
      <c r="O61" s="3"/>
      <c r="P61" s="3"/>
      <c r="Q61" s="4"/>
      <c r="R61" s="2"/>
      <c r="S61" s="3"/>
      <c r="T61" s="3"/>
      <c r="U61" s="3"/>
      <c r="V61" s="3"/>
      <c r="W61" s="3"/>
      <c r="X61" s="3"/>
      <c r="Y61" s="4"/>
      <c r="Z61" s="1"/>
    </row>
    <row r="62" spans="1:26" x14ac:dyDescent="0.25">
      <c r="A62" s="1"/>
      <c r="B62" s="2"/>
      <c r="C62" s="3"/>
      <c r="D62" s="3"/>
      <c r="E62" s="3"/>
      <c r="F62" s="3"/>
      <c r="G62" s="3"/>
      <c r="H62" s="3"/>
      <c r="I62" s="4"/>
      <c r="J62" s="2"/>
      <c r="K62" s="3"/>
      <c r="L62" s="3"/>
      <c r="M62" s="3"/>
      <c r="N62" s="3"/>
      <c r="O62" s="3"/>
      <c r="P62" s="3"/>
      <c r="Q62" s="4"/>
      <c r="R62" s="2"/>
      <c r="S62" s="3"/>
      <c r="T62" s="3"/>
      <c r="U62" s="3"/>
      <c r="V62" s="3"/>
      <c r="W62" s="3"/>
      <c r="X62" s="3"/>
      <c r="Y62" s="4"/>
      <c r="Z62" s="1"/>
    </row>
    <row r="63" spans="1:26" x14ac:dyDescent="0.25">
      <c r="A63" s="1"/>
      <c r="B63" s="2"/>
      <c r="C63" s="3"/>
      <c r="D63" s="3"/>
      <c r="E63" s="3"/>
      <c r="F63" s="3"/>
      <c r="G63" s="3"/>
      <c r="H63" s="3"/>
      <c r="I63" s="4"/>
      <c r="J63" s="2"/>
      <c r="K63" s="3"/>
      <c r="L63" s="3"/>
      <c r="M63" s="3"/>
      <c r="N63" s="3"/>
      <c r="O63" s="3"/>
      <c r="P63" s="3"/>
      <c r="Q63" s="4"/>
      <c r="R63" s="2"/>
      <c r="S63" s="3"/>
      <c r="T63" s="3"/>
      <c r="U63" s="3"/>
      <c r="V63" s="3"/>
      <c r="W63" s="3"/>
      <c r="X63" s="3"/>
      <c r="Y63" s="4"/>
      <c r="Z63" s="1"/>
    </row>
    <row r="64" spans="1:26" x14ac:dyDescent="0.25">
      <c r="A64" s="1"/>
      <c r="B64" s="2"/>
      <c r="C64" s="3"/>
      <c r="D64" s="3"/>
      <c r="E64" s="3"/>
      <c r="F64" s="3"/>
      <c r="G64" s="3"/>
      <c r="H64" s="3"/>
      <c r="I64" s="4"/>
      <c r="J64" s="2"/>
      <c r="K64" s="3"/>
      <c r="L64" s="3"/>
      <c r="M64" s="3"/>
      <c r="N64" s="3"/>
      <c r="O64" s="3"/>
      <c r="P64" s="3"/>
      <c r="Q64" s="4"/>
      <c r="R64" s="2"/>
      <c r="S64" s="3"/>
      <c r="T64" s="3"/>
      <c r="U64" s="3"/>
      <c r="V64" s="3"/>
      <c r="W64" s="3"/>
      <c r="X64" s="3"/>
      <c r="Y64" s="4"/>
      <c r="Z64" s="1"/>
    </row>
    <row r="65" spans="1:26" x14ac:dyDescent="0.25">
      <c r="A65" s="1"/>
      <c r="B65" s="2"/>
      <c r="C65" s="3"/>
      <c r="D65" s="3"/>
      <c r="E65" s="3"/>
      <c r="F65" s="3"/>
      <c r="G65" s="3"/>
      <c r="H65" s="3"/>
      <c r="I65" s="4"/>
      <c r="J65" s="2"/>
      <c r="K65" s="3"/>
      <c r="L65" s="3"/>
      <c r="M65" s="3"/>
      <c r="N65" s="3"/>
      <c r="O65" s="3"/>
      <c r="P65" s="3"/>
      <c r="Q65" s="4"/>
      <c r="R65" s="2"/>
      <c r="S65" s="3"/>
      <c r="T65" s="3"/>
      <c r="U65" s="3"/>
      <c r="V65" s="3"/>
      <c r="W65" s="3"/>
      <c r="X65" s="3"/>
      <c r="Y65" s="4"/>
      <c r="Z65" s="1"/>
    </row>
    <row r="66" spans="1:26" x14ac:dyDescent="0.25">
      <c r="A66" s="1"/>
      <c r="B66" s="2"/>
      <c r="C66" s="3"/>
      <c r="D66" s="3"/>
      <c r="E66" s="3"/>
      <c r="F66" s="3"/>
      <c r="G66" s="3"/>
      <c r="H66" s="3"/>
      <c r="I66" s="4"/>
      <c r="J66" s="2"/>
      <c r="K66" s="3"/>
      <c r="L66" s="3"/>
      <c r="M66" s="3"/>
      <c r="N66" s="3"/>
      <c r="O66" s="3"/>
      <c r="P66" s="3"/>
      <c r="Q66" s="4"/>
      <c r="R66" s="2"/>
      <c r="S66" s="3"/>
      <c r="T66" s="3"/>
      <c r="U66" s="3"/>
      <c r="V66" s="3"/>
      <c r="W66" s="3"/>
      <c r="X66" s="3"/>
      <c r="Y66" s="4"/>
      <c r="Z66" s="1"/>
    </row>
    <row r="67" spans="1:26" x14ac:dyDescent="0.25">
      <c r="A67" s="1"/>
      <c r="B67" s="2"/>
      <c r="C67" s="3"/>
      <c r="D67" s="3"/>
      <c r="E67" s="3"/>
      <c r="F67" s="3"/>
      <c r="G67" s="3"/>
      <c r="H67" s="3"/>
      <c r="I67" s="4"/>
      <c r="J67" s="2"/>
      <c r="K67" s="3"/>
      <c r="L67" s="3"/>
      <c r="M67" s="3"/>
      <c r="N67" s="3"/>
      <c r="O67" s="3"/>
      <c r="P67" s="3"/>
      <c r="Q67" s="4"/>
      <c r="R67" s="2"/>
      <c r="S67" s="3"/>
      <c r="T67" s="3"/>
      <c r="U67" s="3"/>
      <c r="V67" s="3"/>
      <c r="W67" s="3"/>
      <c r="X67" s="3"/>
      <c r="Y67" s="4"/>
      <c r="Z67" s="1"/>
    </row>
    <row r="68" spans="1:26" x14ac:dyDescent="0.25">
      <c r="A68" s="1"/>
      <c r="B68" s="2"/>
      <c r="C68" s="3"/>
      <c r="D68" s="3"/>
      <c r="E68" s="3"/>
      <c r="F68" s="3"/>
      <c r="G68" s="3"/>
      <c r="H68" s="3"/>
      <c r="I68" s="4"/>
      <c r="J68" s="2"/>
      <c r="K68" s="3"/>
      <c r="L68" s="3"/>
      <c r="M68" s="3"/>
      <c r="N68" s="3"/>
      <c r="O68" s="3"/>
      <c r="P68" s="3"/>
      <c r="Q68" s="4"/>
      <c r="R68" s="2"/>
      <c r="S68" s="3"/>
      <c r="T68" s="3"/>
      <c r="U68" s="3"/>
      <c r="V68" s="3"/>
      <c r="W68" s="3"/>
      <c r="X68" s="3"/>
      <c r="Y68" s="4"/>
      <c r="Z68" s="1"/>
    </row>
    <row r="69" spans="1:26" x14ac:dyDescent="0.25">
      <c r="A69" s="1"/>
      <c r="B69" s="2"/>
      <c r="C69" s="3"/>
      <c r="D69" s="3"/>
      <c r="E69" s="3"/>
      <c r="F69" s="3"/>
      <c r="G69" s="3"/>
      <c r="H69" s="3"/>
      <c r="I69" s="4"/>
      <c r="J69" s="2"/>
      <c r="K69" s="3"/>
      <c r="L69" s="3"/>
      <c r="M69" s="3"/>
      <c r="N69" s="3"/>
      <c r="O69" s="3"/>
      <c r="P69" s="3"/>
      <c r="Q69" s="4"/>
      <c r="R69" s="2"/>
      <c r="S69" s="3"/>
      <c r="T69" s="3"/>
      <c r="U69" s="3"/>
      <c r="V69" s="3"/>
      <c r="W69" s="3"/>
      <c r="X69" s="3"/>
      <c r="Y69" s="4"/>
      <c r="Z69" s="1"/>
    </row>
    <row r="70" spans="1:26" x14ac:dyDescent="0.25">
      <c r="A70" s="1"/>
      <c r="B70" s="2"/>
      <c r="C70" s="3"/>
      <c r="D70" s="3"/>
      <c r="E70" s="3"/>
      <c r="F70" s="3"/>
      <c r="G70" s="3"/>
      <c r="H70" s="3"/>
      <c r="I70" s="4"/>
      <c r="J70" s="2"/>
      <c r="K70" s="3"/>
      <c r="L70" s="3"/>
      <c r="M70" s="3"/>
      <c r="N70" s="3"/>
      <c r="O70" s="3"/>
      <c r="P70" s="3"/>
      <c r="Q70" s="4"/>
      <c r="R70" s="2"/>
      <c r="S70" s="3"/>
      <c r="T70" s="3"/>
      <c r="U70" s="3"/>
      <c r="V70" s="3"/>
      <c r="W70" s="3"/>
      <c r="X70" s="3"/>
      <c r="Y70" s="4"/>
      <c r="Z70" s="1"/>
    </row>
    <row r="71" spans="1:26" x14ac:dyDescent="0.25">
      <c r="A71" s="1"/>
      <c r="B71" s="2"/>
      <c r="C71" s="3"/>
      <c r="D71" s="3"/>
      <c r="E71" s="3"/>
      <c r="F71" s="3"/>
      <c r="G71" s="3"/>
      <c r="H71" s="3"/>
      <c r="I71" s="4"/>
      <c r="J71" s="2"/>
      <c r="K71" s="3"/>
      <c r="L71" s="3"/>
      <c r="M71" s="3"/>
      <c r="N71" s="3"/>
      <c r="O71" s="3"/>
      <c r="P71" s="3"/>
      <c r="Q71" s="4"/>
      <c r="R71" s="2"/>
      <c r="S71" s="3"/>
      <c r="T71" s="3"/>
      <c r="U71" s="3"/>
      <c r="V71" s="3"/>
      <c r="W71" s="3"/>
      <c r="X71" s="3"/>
      <c r="Y71" s="4"/>
      <c r="Z71" s="1"/>
    </row>
    <row r="72" spans="1:26" ht="38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44" t="s">
        <v>35</v>
      </c>
      <c r="C73" s="43"/>
      <c r="D73" s="43"/>
      <c r="E73" s="43"/>
      <c r="F73" s="43"/>
      <c r="G73" s="43"/>
      <c r="H73" s="43"/>
      <c r="I73" s="45"/>
      <c r="J73" s="44" t="s">
        <v>36</v>
      </c>
      <c r="K73" s="43"/>
      <c r="L73" s="43"/>
      <c r="M73" s="43"/>
      <c r="N73" s="43"/>
      <c r="O73" s="43"/>
      <c r="P73" s="43"/>
      <c r="Q73" s="45"/>
      <c r="R73" s="44" t="s">
        <v>37</v>
      </c>
      <c r="S73" s="43"/>
      <c r="T73" s="43"/>
      <c r="U73" s="43"/>
      <c r="V73" s="43"/>
      <c r="W73" s="43"/>
      <c r="X73" s="43"/>
      <c r="Y73" s="45"/>
      <c r="Z73" s="1"/>
    </row>
    <row r="74" spans="1:26" x14ac:dyDescent="0.25">
      <c r="A74" s="1"/>
      <c r="B74" s="46" t="s">
        <v>38</v>
      </c>
      <c r="C74" s="43"/>
      <c r="D74" s="43"/>
      <c r="E74" s="43"/>
      <c r="F74" s="43"/>
      <c r="G74" s="43"/>
      <c r="H74" s="43"/>
      <c r="I74" s="45"/>
      <c r="J74" s="46" t="s">
        <v>39</v>
      </c>
      <c r="K74" s="43"/>
      <c r="L74" s="43"/>
      <c r="M74" s="43"/>
      <c r="N74" s="43"/>
      <c r="O74" s="43"/>
      <c r="P74" s="43"/>
      <c r="Q74" s="45"/>
      <c r="R74" s="46" t="s">
        <v>40</v>
      </c>
      <c r="S74" s="43"/>
      <c r="T74" s="43"/>
      <c r="U74" s="43"/>
      <c r="V74" s="43"/>
      <c r="W74" s="43"/>
      <c r="X74" s="43"/>
      <c r="Y74" s="45"/>
      <c r="Z74" s="1"/>
    </row>
    <row r="75" spans="1:26" x14ac:dyDescent="0.25">
      <c r="A75" s="1"/>
      <c r="B75" s="2"/>
      <c r="C75" s="3"/>
      <c r="D75" s="3"/>
      <c r="E75" s="3"/>
      <c r="F75" s="3"/>
      <c r="G75" s="3"/>
      <c r="H75" s="3"/>
      <c r="I75" s="4"/>
      <c r="J75" s="2"/>
      <c r="K75" s="3"/>
      <c r="L75" s="3"/>
      <c r="M75" s="3"/>
      <c r="N75" s="3"/>
      <c r="O75" s="3"/>
      <c r="P75" s="3"/>
      <c r="Q75" s="4"/>
      <c r="R75" s="2"/>
      <c r="S75" s="3"/>
      <c r="T75" s="3"/>
      <c r="U75" s="3"/>
      <c r="V75" s="3"/>
      <c r="W75" s="3"/>
      <c r="X75" s="3"/>
      <c r="Y75" s="4"/>
      <c r="Z75" s="1"/>
    </row>
    <row r="76" spans="1:26" x14ac:dyDescent="0.25">
      <c r="A76" s="1"/>
      <c r="B76" s="2"/>
      <c r="C76" s="3"/>
      <c r="D76" s="3"/>
      <c r="E76" s="3"/>
      <c r="F76" s="3"/>
      <c r="G76" s="3"/>
      <c r="H76" s="3"/>
      <c r="I76" s="4"/>
      <c r="J76" s="2"/>
      <c r="K76" s="3"/>
      <c r="L76" s="3"/>
      <c r="M76" s="3"/>
      <c r="N76" s="3"/>
      <c r="O76" s="3"/>
      <c r="P76" s="3"/>
      <c r="Q76" s="4"/>
      <c r="R76" s="2"/>
      <c r="S76" s="3"/>
      <c r="T76" s="3"/>
      <c r="U76" s="3"/>
      <c r="V76" s="3"/>
      <c r="W76" s="3"/>
      <c r="X76" s="3"/>
      <c r="Y76" s="4"/>
      <c r="Z76" s="1"/>
    </row>
    <row r="77" spans="1:26" x14ac:dyDescent="0.25">
      <c r="A77" s="1"/>
      <c r="B77" s="2"/>
      <c r="C77" s="3"/>
      <c r="D77" s="3"/>
      <c r="E77" s="3"/>
      <c r="F77" s="3"/>
      <c r="G77" s="3"/>
      <c r="H77" s="3"/>
      <c r="I77" s="4"/>
      <c r="J77" s="2"/>
      <c r="K77" s="3"/>
      <c r="L77" s="3"/>
      <c r="M77" s="3"/>
      <c r="N77" s="3"/>
      <c r="O77" s="3"/>
      <c r="P77" s="3"/>
      <c r="Q77" s="4"/>
      <c r="R77" s="2"/>
      <c r="S77" s="3"/>
      <c r="T77" s="3"/>
      <c r="U77" s="3"/>
      <c r="V77" s="3"/>
      <c r="W77" s="3"/>
      <c r="X77" s="3"/>
      <c r="Y77" s="4"/>
      <c r="Z77" s="1"/>
    </row>
    <row r="78" spans="1:26" x14ac:dyDescent="0.25">
      <c r="A78" s="1"/>
      <c r="B78" s="2"/>
      <c r="C78" s="3"/>
      <c r="D78" s="3"/>
      <c r="E78" s="3"/>
      <c r="F78" s="3"/>
      <c r="G78" s="3"/>
      <c r="H78" s="3"/>
      <c r="I78" s="4"/>
      <c r="J78" s="2"/>
      <c r="K78" s="3"/>
      <c r="L78" s="3"/>
      <c r="M78" s="3"/>
      <c r="N78" s="3"/>
      <c r="O78" s="3"/>
      <c r="P78" s="3"/>
      <c r="Q78" s="4"/>
      <c r="R78" s="2"/>
      <c r="S78" s="3"/>
      <c r="T78" s="3"/>
      <c r="U78" s="3"/>
      <c r="V78" s="3"/>
      <c r="W78" s="3"/>
      <c r="X78" s="3"/>
      <c r="Y78" s="4"/>
      <c r="Z78" s="1"/>
    </row>
    <row r="79" spans="1:26" x14ac:dyDescent="0.25">
      <c r="A79" s="1"/>
      <c r="B79" s="2"/>
      <c r="C79" s="3"/>
      <c r="D79" s="3"/>
      <c r="E79" s="3"/>
      <c r="F79" s="3"/>
      <c r="G79" s="3"/>
      <c r="H79" s="3"/>
      <c r="I79" s="4"/>
      <c r="J79" s="2"/>
      <c r="K79" s="3"/>
      <c r="L79" s="3"/>
      <c r="M79" s="3"/>
      <c r="N79" s="3"/>
      <c r="O79" s="3"/>
      <c r="P79" s="3"/>
      <c r="Q79" s="4"/>
      <c r="R79" s="2"/>
      <c r="S79" s="3"/>
      <c r="T79" s="3"/>
      <c r="U79" s="3"/>
      <c r="V79" s="3"/>
      <c r="W79" s="3"/>
      <c r="X79" s="3"/>
      <c r="Y79" s="4"/>
      <c r="Z79" s="1"/>
    </row>
    <row r="80" spans="1:26" x14ac:dyDescent="0.25">
      <c r="A80" s="1"/>
      <c r="B80" s="2"/>
      <c r="C80" s="3"/>
      <c r="D80" s="3"/>
      <c r="E80" s="3"/>
      <c r="F80" s="3"/>
      <c r="G80" s="3"/>
      <c r="H80" s="3"/>
      <c r="I80" s="4"/>
      <c r="J80" s="2"/>
      <c r="K80" s="3"/>
      <c r="L80" s="3"/>
      <c r="M80" s="3"/>
      <c r="N80" s="3"/>
      <c r="O80" s="3"/>
      <c r="P80" s="3"/>
      <c r="Q80" s="4"/>
      <c r="R80" s="2"/>
      <c r="S80" s="3"/>
      <c r="T80" s="3"/>
      <c r="U80" s="3"/>
      <c r="V80" s="3"/>
      <c r="W80" s="3"/>
      <c r="X80" s="3"/>
      <c r="Y80" s="4"/>
      <c r="Z80" s="1"/>
    </row>
    <row r="81" spans="1:26" x14ac:dyDescent="0.25">
      <c r="A81" s="1"/>
      <c r="B81" s="2"/>
      <c r="C81" s="3"/>
      <c r="D81" s="3"/>
      <c r="E81" s="3"/>
      <c r="F81" s="3"/>
      <c r="G81" s="3"/>
      <c r="H81" s="3"/>
      <c r="I81" s="4"/>
      <c r="J81" s="2"/>
      <c r="K81" s="3"/>
      <c r="L81" s="3"/>
      <c r="M81" s="3"/>
      <c r="N81" s="3"/>
      <c r="O81" s="3"/>
      <c r="P81" s="3"/>
      <c r="Q81" s="4"/>
      <c r="R81" s="2"/>
      <c r="S81" s="3"/>
      <c r="T81" s="3"/>
      <c r="U81" s="3"/>
      <c r="V81" s="3"/>
      <c r="W81" s="3"/>
      <c r="X81" s="3"/>
      <c r="Y81" s="4"/>
      <c r="Z81" s="1"/>
    </row>
    <row r="82" spans="1:26" x14ac:dyDescent="0.25">
      <c r="A82" s="1"/>
      <c r="B82" s="2"/>
      <c r="C82" s="3"/>
      <c r="D82" s="3"/>
      <c r="E82" s="3"/>
      <c r="F82" s="3"/>
      <c r="G82" s="3"/>
      <c r="H82" s="3"/>
      <c r="I82" s="4"/>
      <c r="J82" s="2"/>
      <c r="K82" s="3"/>
      <c r="L82" s="3"/>
      <c r="M82" s="3"/>
      <c r="N82" s="3"/>
      <c r="O82" s="3"/>
      <c r="P82" s="3"/>
      <c r="Q82" s="4"/>
      <c r="R82" s="2"/>
      <c r="S82" s="3"/>
      <c r="T82" s="3"/>
      <c r="U82" s="3"/>
      <c r="V82" s="3"/>
      <c r="W82" s="3"/>
      <c r="X82" s="3"/>
      <c r="Y82" s="4"/>
      <c r="Z82" s="1"/>
    </row>
    <row r="83" spans="1:26" x14ac:dyDescent="0.25">
      <c r="A83" s="1"/>
      <c r="B83" s="2"/>
      <c r="C83" s="3"/>
      <c r="D83" s="3"/>
      <c r="E83" s="3"/>
      <c r="F83" s="3"/>
      <c r="G83" s="3"/>
      <c r="H83" s="3"/>
      <c r="I83" s="4"/>
      <c r="J83" s="2"/>
      <c r="K83" s="3"/>
      <c r="L83" s="3"/>
      <c r="M83" s="3"/>
      <c r="N83" s="3"/>
      <c r="O83" s="3"/>
      <c r="P83" s="3"/>
      <c r="Q83" s="4"/>
      <c r="R83" s="2"/>
      <c r="S83" s="3"/>
      <c r="T83" s="3"/>
      <c r="U83" s="3"/>
      <c r="V83" s="3"/>
      <c r="W83" s="3"/>
      <c r="X83" s="3"/>
      <c r="Y83" s="4"/>
      <c r="Z83" s="1"/>
    </row>
    <row r="84" spans="1:26" x14ac:dyDescent="0.25">
      <c r="A84" s="1"/>
      <c r="B84" s="2"/>
      <c r="C84" s="3"/>
      <c r="D84" s="3"/>
      <c r="E84" s="3"/>
      <c r="F84" s="3"/>
      <c r="G84" s="3"/>
      <c r="H84" s="3"/>
      <c r="I84" s="4"/>
      <c r="J84" s="2"/>
      <c r="K84" s="3"/>
      <c r="L84" s="3"/>
      <c r="M84" s="3"/>
      <c r="N84" s="3"/>
      <c r="O84" s="3"/>
      <c r="P84" s="3"/>
      <c r="Q84" s="4"/>
      <c r="R84" s="2"/>
      <c r="S84" s="3"/>
      <c r="T84" s="3"/>
      <c r="U84" s="3"/>
      <c r="V84" s="3"/>
      <c r="W84" s="3"/>
      <c r="X84" s="3"/>
      <c r="Y84" s="4"/>
      <c r="Z84" s="1"/>
    </row>
    <row r="85" spans="1:26" x14ac:dyDescent="0.25">
      <c r="A85" s="1"/>
      <c r="B85" s="2"/>
      <c r="C85" s="3"/>
      <c r="D85" s="3"/>
      <c r="E85" s="3"/>
      <c r="F85" s="3"/>
      <c r="G85" s="3"/>
      <c r="H85" s="3"/>
      <c r="I85" s="4"/>
      <c r="J85" s="2"/>
      <c r="K85" s="3"/>
      <c r="L85" s="3"/>
      <c r="M85" s="3"/>
      <c r="N85" s="3"/>
      <c r="O85" s="3"/>
      <c r="P85" s="3"/>
      <c r="Q85" s="4"/>
      <c r="R85" s="2"/>
      <c r="S85" s="3"/>
      <c r="T85" s="3"/>
      <c r="U85" s="3"/>
      <c r="V85" s="3"/>
      <c r="W85" s="3"/>
      <c r="X85" s="3"/>
      <c r="Y85" s="4"/>
      <c r="Z85" s="1"/>
    </row>
    <row r="86" spans="1:26" x14ac:dyDescent="0.25">
      <c r="A86" s="1"/>
      <c r="B86" s="2"/>
      <c r="C86" s="3"/>
      <c r="D86" s="3"/>
      <c r="E86" s="3"/>
      <c r="F86" s="3"/>
      <c r="G86" s="3"/>
      <c r="H86" s="3"/>
      <c r="I86" s="4"/>
      <c r="J86" s="2"/>
      <c r="K86" s="3"/>
      <c r="L86" s="3"/>
      <c r="M86" s="3"/>
      <c r="N86" s="3"/>
      <c r="O86" s="3"/>
      <c r="P86" s="3"/>
      <c r="Q86" s="4"/>
      <c r="R86" s="2"/>
      <c r="S86" s="3"/>
      <c r="T86" s="3"/>
      <c r="U86" s="3"/>
      <c r="V86" s="3"/>
      <c r="W86" s="3"/>
      <c r="X86" s="3"/>
      <c r="Y86" s="4"/>
      <c r="Z86" s="1"/>
    </row>
    <row r="87" spans="1:26" x14ac:dyDescent="0.25">
      <c r="A87" s="1"/>
      <c r="B87" s="2"/>
      <c r="C87" s="3"/>
      <c r="D87" s="3"/>
      <c r="E87" s="3"/>
      <c r="F87" s="3"/>
      <c r="G87" s="3"/>
      <c r="H87" s="3"/>
      <c r="I87" s="4"/>
      <c r="J87" s="2"/>
      <c r="K87" s="3"/>
      <c r="L87" s="3"/>
      <c r="M87" s="3"/>
      <c r="N87" s="3"/>
      <c r="O87" s="3"/>
      <c r="P87" s="3"/>
      <c r="Q87" s="4"/>
      <c r="R87" s="2"/>
      <c r="S87" s="3"/>
      <c r="T87" s="3"/>
      <c r="U87" s="3"/>
      <c r="V87" s="3"/>
      <c r="W87" s="3"/>
      <c r="X87" s="3"/>
      <c r="Y87" s="4"/>
      <c r="Z87" s="1"/>
    </row>
    <row r="88" spans="1:26" ht="38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77" t="s">
        <v>41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44" t="s">
        <v>42</v>
      </c>
      <c r="C91" s="43"/>
      <c r="D91" s="43"/>
      <c r="E91" s="43"/>
      <c r="F91" s="43"/>
      <c r="G91" s="43"/>
      <c r="H91" s="43"/>
      <c r="I91" s="45"/>
      <c r="J91" s="44" t="s">
        <v>43</v>
      </c>
      <c r="K91" s="43"/>
      <c r="L91" s="43"/>
      <c r="M91" s="43"/>
      <c r="N91" s="43"/>
      <c r="O91" s="43"/>
      <c r="P91" s="43"/>
      <c r="Q91" s="45"/>
      <c r="R91" s="44" t="s">
        <v>44</v>
      </c>
      <c r="S91" s="43"/>
      <c r="T91" s="43"/>
      <c r="U91" s="43"/>
      <c r="V91" s="43"/>
      <c r="W91" s="43"/>
      <c r="X91" s="43"/>
      <c r="Y91" s="45"/>
      <c r="Z91" s="1"/>
    </row>
    <row r="92" spans="1:26" x14ac:dyDescent="0.25">
      <c r="A92" s="1"/>
      <c r="B92" s="46" t="s">
        <v>45</v>
      </c>
      <c r="C92" s="43"/>
      <c r="D92" s="43"/>
      <c r="E92" s="43"/>
      <c r="F92" s="43"/>
      <c r="G92" s="43"/>
      <c r="H92" s="43"/>
      <c r="I92" s="45"/>
      <c r="J92" s="46" t="s">
        <v>17</v>
      </c>
      <c r="K92" s="43"/>
      <c r="L92" s="43"/>
      <c r="M92" s="43"/>
      <c r="N92" s="43"/>
      <c r="O92" s="43"/>
      <c r="P92" s="43"/>
      <c r="Q92" s="45"/>
      <c r="R92" s="46" t="s">
        <v>46</v>
      </c>
      <c r="S92" s="43"/>
      <c r="T92" s="43"/>
      <c r="U92" s="43"/>
      <c r="V92" s="43"/>
      <c r="W92" s="43"/>
      <c r="X92" s="43"/>
      <c r="Y92" s="45"/>
      <c r="Z92" s="1"/>
    </row>
    <row r="93" spans="1:26" x14ac:dyDescent="0.25">
      <c r="A93" s="1"/>
      <c r="B93" s="2"/>
      <c r="C93" s="3"/>
      <c r="D93" s="3"/>
      <c r="E93" s="3"/>
      <c r="F93" s="3"/>
      <c r="G93" s="3"/>
      <c r="H93" s="3"/>
      <c r="I93" s="4"/>
      <c r="J93" s="2"/>
      <c r="K93" s="3"/>
      <c r="L93" s="3"/>
      <c r="M93" s="3"/>
      <c r="N93" s="3"/>
      <c r="O93" s="3"/>
      <c r="P93" s="3"/>
      <c r="Q93" s="4"/>
      <c r="R93" s="2"/>
      <c r="S93" s="3"/>
      <c r="T93" s="3"/>
      <c r="U93" s="3"/>
      <c r="V93" s="3"/>
      <c r="W93" s="3"/>
      <c r="X93" s="3"/>
      <c r="Y93" s="4"/>
      <c r="Z93" s="1"/>
    </row>
    <row r="94" spans="1:26" x14ac:dyDescent="0.25">
      <c r="A94" s="1"/>
      <c r="B94" s="2"/>
      <c r="C94" s="3"/>
      <c r="D94" s="3"/>
      <c r="E94" s="3"/>
      <c r="F94" s="3"/>
      <c r="G94" s="3"/>
      <c r="H94" s="3"/>
      <c r="I94" s="4"/>
      <c r="J94" s="2"/>
      <c r="K94" s="3"/>
      <c r="L94" s="3"/>
      <c r="M94" s="3"/>
      <c r="N94" s="3"/>
      <c r="O94" s="3"/>
      <c r="P94" s="3"/>
      <c r="Q94" s="4"/>
      <c r="R94" s="2"/>
      <c r="S94" s="3"/>
      <c r="T94" s="3"/>
      <c r="U94" s="3"/>
      <c r="V94" s="3"/>
      <c r="W94" s="3"/>
      <c r="X94" s="3"/>
      <c r="Y94" s="4"/>
      <c r="Z94" s="1"/>
    </row>
    <row r="95" spans="1:26" x14ac:dyDescent="0.25">
      <c r="A95" s="1"/>
      <c r="B95" s="2"/>
      <c r="C95" s="3"/>
      <c r="D95" s="3"/>
      <c r="E95" s="3"/>
      <c r="F95" s="3"/>
      <c r="G95" s="3"/>
      <c r="H95" s="3"/>
      <c r="I95" s="4"/>
      <c r="J95" s="2"/>
      <c r="K95" s="3"/>
      <c r="L95" s="3"/>
      <c r="M95" s="3"/>
      <c r="N95" s="3"/>
      <c r="O95" s="3"/>
      <c r="P95" s="3"/>
      <c r="Q95" s="4"/>
      <c r="R95" s="2"/>
      <c r="S95" s="3"/>
      <c r="T95" s="3"/>
      <c r="U95" s="3"/>
      <c r="V95" s="3"/>
      <c r="W95" s="3"/>
      <c r="X95" s="3"/>
      <c r="Y95" s="4"/>
      <c r="Z95" s="1"/>
    </row>
    <row r="96" spans="1:26" x14ac:dyDescent="0.25">
      <c r="A96" s="1"/>
      <c r="B96" s="2"/>
      <c r="C96" s="3"/>
      <c r="D96" s="3"/>
      <c r="E96" s="3"/>
      <c r="F96" s="3"/>
      <c r="G96" s="3"/>
      <c r="H96" s="3"/>
      <c r="I96" s="4"/>
      <c r="J96" s="2"/>
      <c r="K96" s="3"/>
      <c r="L96" s="3"/>
      <c r="M96" s="3"/>
      <c r="N96" s="3"/>
      <c r="O96" s="3"/>
      <c r="P96" s="3"/>
      <c r="Q96" s="4"/>
      <c r="R96" s="2"/>
      <c r="S96" s="3"/>
      <c r="T96" s="3"/>
      <c r="U96" s="3"/>
      <c r="V96" s="3"/>
      <c r="W96" s="3"/>
      <c r="X96" s="3"/>
      <c r="Y96" s="4"/>
      <c r="Z96" s="1"/>
    </row>
    <row r="97" spans="1:26" x14ac:dyDescent="0.25">
      <c r="A97" s="1"/>
      <c r="B97" s="2"/>
      <c r="C97" s="3"/>
      <c r="D97" s="3"/>
      <c r="E97" s="3"/>
      <c r="F97" s="3"/>
      <c r="G97" s="3"/>
      <c r="H97" s="3"/>
      <c r="I97" s="4"/>
      <c r="J97" s="2"/>
      <c r="K97" s="3"/>
      <c r="L97" s="3"/>
      <c r="M97" s="3"/>
      <c r="N97" s="3"/>
      <c r="O97" s="3"/>
      <c r="P97" s="3"/>
      <c r="Q97" s="4"/>
      <c r="R97" s="2"/>
      <c r="S97" s="3"/>
      <c r="T97" s="3"/>
      <c r="U97" s="3"/>
      <c r="V97" s="3"/>
      <c r="W97" s="3"/>
      <c r="X97" s="3"/>
      <c r="Y97" s="4"/>
      <c r="Z97" s="1"/>
    </row>
    <row r="98" spans="1:26" x14ac:dyDescent="0.25">
      <c r="A98" s="1"/>
      <c r="B98" s="2"/>
      <c r="C98" s="3"/>
      <c r="D98" s="3"/>
      <c r="E98" s="3"/>
      <c r="F98" s="3"/>
      <c r="G98" s="3"/>
      <c r="H98" s="3"/>
      <c r="I98" s="4"/>
      <c r="J98" s="2"/>
      <c r="K98" s="3"/>
      <c r="L98" s="3"/>
      <c r="M98" s="3"/>
      <c r="N98" s="3"/>
      <c r="O98" s="3"/>
      <c r="P98" s="3"/>
      <c r="Q98" s="4"/>
      <c r="R98" s="2"/>
      <c r="S98" s="3"/>
      <c r="T98" s="3"/>
      <c r="U98" s="3"/>
      <c r="V98" s="3"/>
      <c r="W98" s="3"/>
      <c r="X98" s="3"/>
      <c r="Y98" s="4"/>
      <c r="Z98" s="1"/>
    </row>
    <row r="99" spans="1:26" x14ac:dyDescent="0.25">
      <c r="A99" s="1"/>
      <c r="B99" s="2"/>
      <c r="C99" s="3"/>
      <c r="D99" s="3"/>
      <c r="E99" s="3"/>
      <c r="F99" s="3"/>
      <c r="G99" s="3"/>
      <c r="H99" s="3"/>
      <c r="I99" s="4"/>
      <c r="J99" s="2"/>
      <c r="K99" s="3"/>
      <c r="L99" s="3"/>
      <c r="M99" s="3"/>
      <c r="N99" s="3"/>
      <c r="O99" s="3"/>
      <c r="P99" s="3"/>
      <c r="Q99" s="4"/>
      <c r="R99" s="2"/>
      <c r="S99" s="3"/>
      <c r="T99" s="3"/>
      <c r="U99" s="3"/>
      <c r="V99" s="3"/>
      <c r="W99" s="3"/>
      <c r="X99" s="3"/>
      <c r="Y99" s="4"/>
      <c r="Z99" s="1"/>
    </row>
    <row r="100" spans="1:26" x14ac:dyDescent="0.25">
      <c r="A100" s="1"/>
      <c r="B100" s="2"/>
      <c r="C100" s="3"/>
      <c r="D100" s="3"/>
      <c r="E100" s="3"/>
      <c r="F100" s="3"/>
      <c r="G100" s="3"/>
      <c r="H100" s="3"/>
      <c r="I100" s="4"/>
      <c r="J100" s="2"/>
      <c r="K100" s="3"/>
      <c r="L100" s="3"/>
      <c r="M100" s="3"/>
      <c r="N100" s="3"/>
      <c r="O100" s="3"/>
      <c r="P100" s="3"/>
      <c r="Q100" s="4"/>
      <c r="R100" s="2"/>
      <c r="S100" s="3"/>
      <c r="T100" s="3"/>
      <c r="U100" s="3"/>
      <c r="V100" s="3"/>
      <c r="W100" s="3"/>
      <c r="X100" s="3"/>
      <c r="Y100" s="4"/>
      <c r="Z100" s="1"/>
    </row>
    <row r="101" spans="1:26" x14ac:dyDescent="0.25">
      <c r="A101" s="1"/>
      <c r="B101" s="2"/>
      <c r="C101" s="3"/>
      <c r="D101" s="3"/>
      <c r="E101" s="3"/>
      <c r="F101" s="3"/>
      <c r="G101" s="3"/>
      <c r="H101" s="3"/>
      <c r="I101" s="4"/>
      <c r="J101" s="2"/>
      <c r="K101" s="3"/>
      <c r="L101" s="3"/>
      <c r="M101" s="3"/>
      <c r="N101" s="3"/>
      <c r="O101" s="3"/>
      <c r="P101" s="3"/>
      <c r="Q101" s="4"/>
      <c r="R101" s="2"/>
      <c r="S101" s="3"/>
      <c r="T101" s="3"/>
      <c r="U101" s="3"/>
      <c r="V101" s="3"/>
      <c r="W101" s="3"/>
      <c r="X101" s="3"/>
      <c r="Y101" s="4"/>
      <c r="Z101" s="1"/>
    </row>
    <row r="102" spans="1:26" x14ac:dyDescent="0.25">
      <c r="A102" s="1"/>
      <c r="B102" s="2"/>
      <c r="C102" s="3"/>
      <c r="D102" s="3"/>
      <c r="E102" s="3"/>
      <c r="F102" s="3"/>
      <c r="G102" s="3"/>
      <c r="H102" s="3"/>
      <c r="I102" s="4"/>
      <c r="J102" s="2"/>
      <c r="K102" s="3"/>
      <c r="L102" s="3"/>
      <c r="M102" s="3"/>
      <c r="N102" s="3"/>
      <c r="O102" s="3"/>
      <c r="P102" s="3"/>
      <c r="Q102" s="4"/>
      <c r="R102" s="2"/>
      <c r="S102" s="3"/>
      <c r="T102" s="3"/>
      <c r="U102" s="3"/>
      <c r="V102" s="3"/>
      <c r="W102" s="3"/>
      <c r="X102" s="3"/>
      <c r="Y102" s="4"/>
      <c r="Z102" s="1"/>
    </row>
    <row r="103" spans="1:26" x14ac:dyDescent="0.25">
      <c r="A103" s="1"/>
      <c r="B103" s="2"/>
      <c r="C103" s="3"/>
      <c r="D103" s="3"/>
      <c r="E103" s="3"/>
      <c r="F103" s="3"/>
      <c r="G103" s="3"/>
      <c r="H103" s="3"/>
      <c r="I103" s="4"/>
      <c r="J103" s="2"/>
      <c r="K103" s="3"/>
      <c r="L103" s="3"/>
      <c r="M103" s="3"/>
      <c r="N103" s="3"/>
      <c r="O103" s="3"/>
      <c r="P103" s="3"/>
      <c r="Q103" s="4"/>
      <c r="R103" s="2"/>
      <c r="S103" s="3"/>
      <c r="T103" s="3"/>
      <c r="U103" s="3"/>
      <c r="V103" s="3"/>
      <c r="W103" s="3"/>
      <c r="X103" s="3"/>
      <c r="Y103" s="4"/>
      <c r="Z103" s="1"/>
    </row>
    <row r="104" spans="1:26" x14ac:dyDescent="0.25">
      <c r="A104" s="1"/>
      <c r="B104" s="2"/>
      <c r="C104" s="3"/>
      <c r="D104" s="3"/>
      <c r="E104" s="3"/>
      <c r="F104" s="3"/>
      <c r="G104" s="3"/>
      <c r="H104" s="3"/>
      <c r="I104" s="4"/>
      <c r="J104" s="2"/>
      <c r="K104" s="3"/>
      <c r="L104" s="3"/>
      <c r="M104" s="3"/>
      <c r="N104" s="3"/>
      <c r="O104" s="3"/>
      <c r="P104" s="3"/>
      <c r="Q104" s="4"/>
      <c r="R104" s="2"/>
      <c r="S104" s="3"/>
      <c r="T104" s="3"/>
      <c r="U104" s="3"/>
      <c r="V104" s="3"/>
      <c r="W104" s="3"/>
      <c r="X104" s="3"/>
      <c r="Y104" s="4"/>
      <c r="Z104" s="1"/>
    </row>
    <row r="105" spans="1:26" x14ac:dyDescent="0.25">
      <c r="A105" s="1"/>
      <c r="B105" s="2"/>
      <c r="C105" s="3"/>
      <c r="D105" s="3"/>
      <c r="E105" s="3"/>
      <c r="F105" s="3"/>
      <c r="G105" s="3"/>
      <c r="H105" s="3"/>
      <c r="I105" s="4"/>
      <c r="J105" s="2"/>
      <c r="K105" s="3"/>
      <c r="L105" s="3"/>
      <c r="M105" s="3"/>
      <c r="N105" s="3"/>
      <c r="O105" s="3"/>
      <c r="P105" s="3"/>
      <c r="Q105" s="4"/>
      <c r="R105" s="2"/>
      <c r="S105" s="3"/>
      <c r="T105" s="3"/>
      <c r="U105" s="3"/>
      <c r="V105" s="3"/>
      <c r="W105" s="3"/>
      <c r="X105" s="3"/>
      <c r="Y105" s="4"/>
      <c r="Z105" s="1"/>
    </row>
    <row r="106" spans="1:26" ht="32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77" t="s">
        <v>47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92" t="s">
        <v>26</v>
      </c>
      <c r="C109" s="84"/>
      <c r="D109" s="84"/>
      <c r="E109" s="83" t="s">
        <v>48</v>
      </c>
      <c r="F109" s="84"/>
      <c r="G109" s="84"/>
      <c r="H109" s="83" t="s">
        <v>49</v>
      </c>
      <c r="I109" s="84"/>
      <c r="J109" s="84"/>
      <c r="K109" s="83" t="s">
        <v>50</v>
      </c>
      <c r="L109" s="84"/>
      <c r="M109" s="84"/>
      <c r="N109" s="83" t="s">
        <v>51</v>
      </c>
      <c r="O109" s="84"/>
      <c r="P109" s="84"/>
      <c r="Q109" s="83" t="s">
        <v>52</v>
      </c>
      <c r="R109" s="84"/>
      <c r="S109" s="84"/>
      <c r="T109" s="83" t="s">
        <v>53</v>
      </c>
      <c r="U109" s="84"/>
      <c r="V109" s="84"/>
      <c r="W109" s="83" t="s">
        <v>54</v>
      </c>
      <c r="X109" s="84"/>
      <c r="Y109" s="84"/>
      <c r="Z109" s="1"/>
    </row>
    <row r="110" spans="1:26" x14ac:dyDescent="0.25">
      <c r="A110" s="1"/>
      <c r="B110" s="54" t="str">
        <f>Calc!B25</f>
        <v>Finance</v>
      </c>
      <c r="C110" s="41"/>
      <c r="D110" s="41"/>
      <c r="E110" s="49">
        <f>Calc!C25</f>
        <v>170</v>
      </c>
      <c r="F110" s="41"/>
      <c r="G110" s="41"/>
      <c r="H110" s="49">
        <f>Calc!D25</f>
        <v>39</v>
      </c>
      <c r="I110" s="41"/>
      <c r="J110" s="41"/>
      <c r="K110" s="59">
        <f>Calc!E25</f>
        <v>0.22941176470588234</v>
      </c>
      <c r="L110" s="41"/>
      <c r="M110" s="41"/>
      <c r="N110" s="55">
        <f>Calc!F25</f>
        <v>74193.429411764708</v>
      </c>
      <c r="O110" s="41"/>
      <c r="P110" s="41"/>
      <c r="Q110" s="40">
        <f>Calc!G25</f>
        <v>2.5352941176470587</v>
      </c>
      <c r="R110" s="41"/>
      <c r="S110" s="41"/>
      <c r="T110" s="59">
        <f>Calc!H25</f>
        <v>0.34705882352941175</v>
      </c>
      <c r="U110" s="41"/>
      <c r="V110" s="41"/>
      <c r="W110" s="48">
        <f>Calc!I25</f>
        <v>8.6941176470588228</v>
      </c>
      <c r="X110" s="41"/>
      <c r="Y110" s="41"/>
      <c r="Z110" s="1"/>
    </row>
    <row r="111" spans="1:26" x14ac:dyDescent="0.25">
      <c r="A111" s="1"/>
      <c r="B111" s="54" t="str">
        <f>Calc!B26</f>
        <v>HR</v>
      </c>
      <c r="C111" s="41"/>
      <c r="D111" s="41"/>
      <c r="E111" s="49">
        <f>Calc!C26</f>
        <v>174</v>
      </c>
      <c r="F111" s="41"/>
      <c r="G111" s="41"/>
      <c r="H111" s="49">
        <f>Calc!D26</f>
        <v>31</v>
      </c>
      <c r="I111" s="41"/>
      <c r="J111" s="41"/>
      <c r="K111" s="59">
        <f>Calc!E26</f>
        <v>0.17816091954022989</v>
      </c>
      <c r="L111" s="41"/>
      <c r="M111" s="41"/>
      <c r="N111" s="55">
        <f>Calc!F26</f>
        <v>73784.241379310348</v>
      </c>
      <c r="O111" s="41"/>
      <c r="P111" s="41"/>
      <c r="Q111" s="40">
        <f>Calc!G26</f>
        <v>2.5517241379310347</v>
      </c>
      <c r="R111" s="41"/>
      <c r="S111" s="41"/>
      <c r="T111" s="59">
        <f>Calc!H26</f>
        <v>0.3045977011494253</v>
      </c>
      <c r="U111" s="41"/>
      <c r="V111" s="41"/>
      <c r="W111" s="48">
        <f>Calc!I26</f>
        <v>9.4770114942528743</v>
      </c>
      <c r="X111" s="41"/>
      <c r="Y111" s="41"/>
      <c r="Z111" s="1"/>
    </row>
    <row r="112" spans="1:26" x14ac:dyDescent="0.25">
      <c r="A112" s="1"/>
      <c r="B112" s="54" t="str">
        <f>Calc!B27</f>
        <v>IT</v>
      </c>
      <c r="C112" s="41"/>
      <c r="D112" s="41"/>
      <c r="E112" s="49">
        <f>Calc!C27</f>
        <v>159</v>
      </c>
      <c r="F112" s="41"/>
      <c r="G112" s="41"/>
      <c r="H112" s="49">
        <f>Calc!D27</f>
        <v>21</v>
      </c>
      <c r="I112" s="41"/>
      <c r="J112" s="41"/>
      <c r="K112" s="59">
        <f>Calc!E27</f>
        <v>0.13207547169811321</v>
      </c>
      <c r="L112" s="41"/>
      <c r="M112" s="41"/>
      <c r="N112" s="55">
        <f>Calc!F27</f>
        <v>77438.679245283012</v>
      </c>
      <c r="O112" s="41"/>
      <c r="P112" s="41"/>
      <c r="Q112" s="40">
        <f>Calc!G27</f>
        <v>2.4779874213836477</v>
      </c>
      <c r="R112" s="41"/>
      <c r="S112" s="41"/>
      <c r="T112" s="59">
        <f>Calc!H27</f>
        <v>0.36477987421383645</v>
      </c>
      <c r="U112" s="41"/>
      <c r="V112" s="41"/>
      <c r="W112" s="48">
        <f>Calc!I27</f>
        <v>10.188679245283019</v>
      </c>
      <c r="X112" s="41"/>
      <c r="Y112" s="41"/>
      <c r="Z112" s="1"/>
    </row>
    <row r="113" spans="1:26" x14ac:dyDescent="0.25">
      <c r="A113" s="1"/>
      <c r="B113" s="54" t="str">
        <f>Calc!B28</f>
        <v>Operations</v>
      </c>
      <c r="C113" s="41"/>
      <c r="D113" s="41"/>
      <c r="E113" s="49">
        <f>Calc!C28</f>
        <v>142</v>
      </c>
      <c r="F113" s="41"/>
      <c r="G113" s="41"/>
      <c r="H113" s="49">
        <f>Calc!D28</f>
        <v>23</v>
      </c>
      <c r="I113" s="41"/>
      <c r="J113" s="41"/>
      <c r="K113" s="59">
        <f>Calc!E28</f>
        <v>0.1619718309859155</v>
      </c>
      <c r="L113" s="41"/>
      <c r="M113" s="41"/>
      <c r="N113" s="55">
        <f>Calc!F28</f>
        <v>75429.457746478874</v>
      </c>
      <c r="O113" s="41"/>
      <c r="P113" s="41"/>
      <c r="Q113" s="40">
        <f>Calc!G28</f>
        <v>2.3943661971830985</v>
      </c>
      <c r="R113" s="41"/>
      <c r="S113" s="41"/>
      <c r="T113" s="59">
        <f>Calc!H28</f>
        <v>0.30985915492957744</v>
      </c>
      <c r="U113" s="41"/>
      <c r="V113" s="41"/>
      <c r="W113" s="48">
        <f>Calc!I28</f>
        <v>10.112676056338028</v>
      </c>
      <c r="X113" s="41"/>
      <c r="Y113" s="41"/>
      <c r="Z113" s="1"/>
    </row>
    <row r="114" spans="1:26" x14ac:dyDescent="0.25">
      <c r="A114" s="1"/>
      <c r="B114" s="54" t="str">
        <f>Calc!B29</f>
        <v>Sales</v>
      </c>
      <c r="C114" s="41"/>
      <c r="D114" s="41"/>
      <c r="E114" s="49">
        <f>Calc!C29</f>
        <v>155</v>
      </c>
      <c r="F114" s="41"/>
      <c r="G114" s="41"/>
      <c r="H114" s="49">
        <f>Calc!D29</f>
        <v>32</v>
      </c>
      <c r="I114" s="41"/>
      <c r="J114" s="41"/>
      <c r="K114" s="59">
        <f>Calc!E29</f>
        <v>0.20645161290322581</v>
      </c>
      <c r="L114" s="41"/>
      <c r="M114" s="41"/>
      <c r="N114" s="55">
        <f>Calc!F29</f>
        <v>74673.316129032261</v>
      </c>
      <c r="O114" s="41"/>
      <c r="P114" s="41"/>
      <c r="Q114" s="40">
        <f>Calc!G29</f>
        <v>2.5032258064516131</v>
      </c>
      <c r="R114" s="41"/>
      <c r="S114" s="41"/>
      <c r="T114" s="59">
        <f>Calc!H29</f>
        <v>0.3032258064516129</v>
      </c>
      <c r="U114" s="41"/>
      <c r="V114" s="41"/>
      <c r="W114" s="48">
        <f>Calc!I29</f>
        <v>10.522580645161291</v>
      </c>
      <c r="X114" s="41"/>
      <c r="Y114" s="41"/>
      <c r="Z114" s="1"/>
    </row>
    <row r="115" spans="1:26" x14ac:dyDescent="0.25">
      <c r="A115" s="1"/>
      <c r="B115" s="54" t="str">
        <f>Calc!B30</f>
        <v/>
      </c>
      <c r="C115" s="41"/>
      <c r="D115" s="41"/>
      <c r="E115" s="49" t="str">
        <f>Calc!C30</f>
        <v/>
      </c>
      <c r="F115" s="41"/>
      <c r="G115" s="41"/>
      <c r="H115" s="49" t="str">
        <f>Calc!D30</f>
        <v/>
      </c>
      <c r="I115" s="41"/>
      <c r="J115" s="41"/>
      <c r="K115" s="59" t="str">
        <f>Calc!E30</f>
        <v/>
      </c>
      <c r="L115" s="41"/>
      <c r="M115" s="41"/>
      <c r="N115" s="55" t="str">
        <f>Calc!F30</f>
        <v/>
      </c>
      <c r="O115" s="41"/>
      <c r="P115" s="41"/>
      <c r="Q115" s="40" t="str">
        <f>Calc!G30</f>
        <v/>
      </c>
      <c r="R115" s="41"/>
      <c r="S115" s="41"/>
      <c r="T115" s="59" t="str">
        <f>Calc!H30</f>
        <v/>
      </c>
      <c r="U115" s="41"/>
      <c r="V115" s="41"/>
      <c r="W115" s="48" t="str">
        <f>Calc!I30</f>
        <v/>
      </c>
      <c r="X115" s="41"/>
      <c r="Y115" s="41"/>
      <c r="Z115" s="1"/>
    </row>
    <row r="116" spans="1:26" x14ac:dyDescent="0.25">
      <c r="A116" s="1"/>
      <c r="B116" s="54" t="str">
        <f>Calc!B31</f>
        <v/>
      </c>
      <c r="C116" s="41"/>
      <c r="D116" s="41"/>
      <c r="E116" s="49" t="str">
        <f>Calc!C31</f>
        <v/>
      </c>
      <c r="F116" s="41"/>
      <c r="G116" s="41"/>
      <c r="H116" s="49" t="str">
        <f>Calc!D31</f>
        <v/>
      </c>
      <c r="I116" s="41"/>
      <c r="J116" s="41"/>
      <c r="K116" s="59" t="str">
        <f>Calc!E31</f>
        <v/>
      </c>
      <c r="L116" s="41"/>
      <c r="M116" s="41"/>
      <c r="N116" s="55" t="str">
        <f>Calc!F31</f>
        <v/>
      </c>
      <c r="O116" s="41"/>
      <c r="P116" s="41"/>
      <c r="Q116" s="40" t="str">
        <f>Calc!G31</f>
        <v/>
      </c>
      <c r="R116" s="41"/>
      <c r="S116" s="41"/>
      <c r="T116" s="59" t="str">
        <f>Calc!H31</f>
        <v/>
      </c>
      <c r="U116" s="41"/>
      <c r="V116" s="41"/>
      <c r="W116" s="48" t="str">
        <f>Calc!I31</f>
        <v/>
      </c>
      <c r="X116" s="41"/>
      <c r="Y116" s="41"/>
      <c r="Z116" s="1"/>
    </row>
    <row r="117" spans="1:26" x14ac:dyDescent="0.25">
      <c r="A117" s="1"/>
      <c r="B117" s="54" t="str">
        <f>Calc!B32</f>
        <v/>
      </c>
      <c r="C117" s="41"/>
      <c r="D117" s="41"/>
      <c r="E117" s="49" t="str">
        <f>Calc!C32</f>
        <v/>
      </c>
      <c r="F117" s="41"/>
      <c r="G117" s="41"/>
      <c r="H117" s="49" t="str">
        <f>Calc!D32</f>
        <v/>
      </c>
      <c r="I117" s="41"/>
      <c r="J117" s="41"/>
      <c r="K117" s="59" t="str">
        <f>Calc!E32</f>
        <v/>
      </c>
      <c r="L117" s="41"/>
      <c r="M117" s="41"/>
      <c r="N117" s="55" t="str">
        <f>Calc!F32</f>
        <v/>
      </c>
      <c r="O117" s="41"/>
      <c r="P117" s="41"/>
      <c r="Q117" s="40" t="str">
        <f>Calc!G32</f>
        <v/>
      </c>
      <c r="R117" s="41"/>
      <c r="S117" s="41"/>
      <c r="T117" s="59" t="str">
        <f>Calc!H32</f>
        <v/>
      </c>
      <c r="U117" s="41"/>
      <c r="V117" s="41"/>
      <c r="W117" s="48" t="str">
        <f>Calc!I32</f>
        <v/>
      </c>
      <c r="X117" s="41"/>
      <c r="Y117" s="41"/>
      <c r="Z117" s="1"/>
    </row>
    <row r="118" spans="1:26" x14ac:dyDescent="0.25">
      <c r="A118" s="1"/>
      <c r="B118" s="75" t="str">
        <f>Calc!B33</f>
        <v>All departments</v>
      </c>
      <c r="C118" s="74"/>
      <c r="D118" s="74"/>
      <c r="E118" s="94">
        <f>Calc!C33</f>
        <v>800</v>
      </c>
      <c r="F118" s="74"/>
      <c r="G118" s="74"/>
      <c r="H118" s="94">
        <f>Calc!D33</f>
        <v>146</v>
      </c>
      <c r="I118" s="74"/>
      <c r="J118" s="74"/>
      <c r="K118" s="73">
        <f>Calc!E33</f>
        <v>0.1825</v>
      </c>
      <c r="L118" s="74"/>
      <c r="M118" s="74"/>
      <c r="N118" s="91">
        <f>Calc!F33</f>
        <v>75061.797500000001</v>
      </c>
      <c r="O118" s="74"/>
      <c r="P118" s="74"/>
      <c r="Q118" s="78">
        <f>Calc!G33</f>
        <v>2.4962499999999999</v>
      </c>
      <c r="R118" s="74"/>
      <c r="S118" s="74"/>
      <c r="T118" s="73">
        <f>Calc!H33</f>
        <v>0.32624999999999998</v>
      </c>
      <c r="U118" s="74"/>
      <c r="V118" s="74"/>
      <c r="W118" s="76">
        <f>Calc!I33</f>
        <v>9.7675000000000001</v>
      </c>
      <c r="X118" s="74"/>
      <c r="Y118" s="74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70" t="s">
        <v>55</v>
      </c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1"/>
    </row>
    <row r="121" spans="1:26" x14ac:dyDescent="0.25">
      <c r="A121" s="1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</sheetData>
  <mergeCells count="159">
    <mergeCell ref="E118:G118"/>
    <mergeCell ref="H110:J110"/>
    <mergeCell ref="R45:T45"/>
    <mergeCell ref="V10:Y11"/>
    <mergeCell ref="B107:Y107"/>
    <mergeCell ref="T110:V110"/>
    <mergeCell ref="Q114:S114"/>
    <mergeCell ref="B17:Y17"/>
    <mergeCell ref="H109:J109"/>
    <mergeCell ref="R42:T42"/>
    <mergeCell ref="R40:Y40"/>
    <mergeCell ref="R47:T47"/>
    <mergeCell ref="T109:V109"/>
    <mergeCell ref="R24:Y24"/>
    <mergeCell ref="B19:Y19"/>
    <mergeCell ref="J24:Q24"/>
    <mergeCell ref="H111:J111"/>
    <mergeCell ref="K114:M114"/>
    <mergeCell ref="H118:J118"/>
    <mergeCell ref="J58:Q58"/>
    <mergeCell ref="H114:J114"/>
    <mergeCell ref="B3:Q3"/>
    <mergeCell ref="R46:T46"/>
    <mergeCell ref="B73:I73"/>
    <mergeCell ref="R74:Y74"/>
    <mergeCell ref="N118:P118"/>
    <mergeCell ref="B12:E12"/>
    <mergeCell ref="J9:M9"/>
    <mergeCell ref="N12:Q12"/>
    <mergeCell ref="R48:T48"/>
    <mergeCell ref="W110:Y110"/>
    <mergeCell ref="T114:V114"/>
    <mergeCell ref="E114:G114"/>
    <mergeCell ref="H115:J115"/>
    <mergeCell ref="T115:V115"/>
    <mergeCell ref="W112:Y112"/>
    <mergeCell ref="E109:G109"/>
    <mergeCell ref="T111:V111"/>
    <mergeCell ref="N113:P113"/>
    <mergeCell ref="B109:D109"/>
    <mergeCell ref="E111:G111"/>
    <mergeCell ref="N109:P109"/>
    <mergeCell ref="V9:Y9"/>
    <mergeCell ref="H112:J112"/>
    <mergeCell ref="K113:M113"/>
    <mergeCell ref="B2:Q2"/>
    <mergeCell ref="L5:O5"/>
    <mergeCell ref="B74:I74"/>
    <mergeCell ref="J91:Q91"/>
    <mergeCell ref="N110:P110"/>
    <mergeCell ref="T112:V112"/>
    <mergeCell ref="R12:U12"/>
    <mergeCell ref="N112:P112"/>
    <mergeCell ref="K110:M110"/>
    <mergeCell ref="R49:T49"/>
    <mergeCell ref="F10:I11"/>
    <mergeCell ref="B111:D111"/>
    <mergeCell ref="K109:M109"/>
    <mergeCell ref="B21:Y21"/>
    <mergeCell ref="R92:Y92"/>
    <mergeCell ref="R39:Y39"/>
    <mergeCell ref="K111:M111"/>
    <mergeCell ref="Q109:S109"/>
    <mergeCell ref="B39:I39"/>
    <mergeCell ref="B23:I23"/>
    <mergeCell ref="N10:Q11"/>
    <mergeCell ref="W111:Y111"/>
    <mergeCell ref="E112:G112"/>
    <mergeCell ref="B110:D110"/>
    <mergeCell ref="Q118:S118"/>
    <mergeCell ref="J73:Q73"/>
    <mergeCell ref="F9:I9"/>
    <mergeCell ref="B91:I91"/>
    <mergeCell ref="R51:Y52"/>
    <mergeCell ref="B6:E6"/>
    <mergeCell ref="J12:M12"/>
    <mergeCell ref="W113:Y113"/>
    <mergeCell ref="L6:O6"/>
    <mergeCell ref="J57:Q57"/>
    <mergeCell ref="Q113:S113"/>
    <mergeCell ref="B14:Y14"/>
    <mergeCell ref="N111:P111"/>
    <mergeCell ref="W109:Y109"/>
    <mergeCell ref="T113:V113"/>
    <mergeCell ref="K117:M117"/>
    <mergeCell ref="W115:Y115"/>
    <mergeCell ref="R41:T41"/>
    <mergeCell ref="E116:G116"/>
    <mergeCell ref="W117:Y117"/>
    <mergeCell ref="E113:G113"/>
    <mergeCell ref="R43:T43"/>
    <mergeCell ref="B10:E11"/>
    <mergeCell ref="K116:M116"/>
    <mergeCell ref="B120:Y121"/>
    <mergeCell ref="B113:D113"/>
    <mergeCell ref="Q116:S116"/>
    <mergeCell ref="B40:I40"/>
    <mergeCell ref="R44:T44"/>
    <mergeCell ref="Q112:S112"/>
    <mergeCell ref="B16:Y16"/>
    <mergeCell ref="B24:I24"/>
    <mergeCell ref="B115:D115"/>
    <mergeCell ref="H113:J113"/>
    <mergeCell ref="Q117:S117"/>
    <mergeCell ref="R23:Y23"/>
    <mergeCell ref="T118:V118"/>
    <mergeCell ref="B118:D118"/>
    <mergeCell ref="W118:Y118"/>
    <mergeCell ref="B114:D114"/>
    <mergeCell ref="B55:Y55"/>
    <mergeCell ref="E115:G115"/>
    <mergeCell ref="K112:M112"/>
    <mergeCell ref="H116:J116"/>
    <mergeCell ref="B89:Y89"/>
    <mergeCell ref="N114:P114"/>
    <mergeCell ref="K118:M118"/>
    <mergeCell ref="T116:V116"/>
    <mergeCell ref="V12:Y12"/>
    <mergeCell ref="E110:G110"/>
    <mergeCell ref="J10:M11"/>
    <mergeCell ref="R58:Y58"/>
    <mergeCell ref="J23:Q23"/>
    <mergeCell ref="B18:Y18"/>
    <mergeCell ref="B117:D117"/>
    <mergeCell ref="N115:P115"/>
    <mergeCell ref="B9:E9"/>
    <mergeCell ref="Q111:S111"/>
    <mergeCell ref="N117:P117"/>
    <mergeCell ref="W114:Y114"/>
    <mergeCell ref="R73:Y73"/>
    <mergeCell ref="N9:Q9"/>
    <mergeCell ref="B15:Y15"/>
    <mergeCell ref="R10:U11"/>
    <mergeCell ref="J39:Q39"/>
    <mergeCell ref="T117:V117"/>
    <mergeCell ref="R2:Y3"/>
    <mergeCell ref="Q110:S110"/>
    <mergeCell ref="Q5:Y6"/>
    <mergeCell ref="B57:I57"/>
    <mergeCell ref="J74:Q74"/>
    <mergeCell ref="R91:Y91"/>
    <mergeCell ref="F12:I12"/>
    <mergeCell ref="W116:Y116"/>
    <mergeCell ref="E117:G117"/>
    <mergeCell ref="G6:J6"/>
    <mergeCell ref="B92:I92"/>
    <mergeCell ref="Q115:S115"/>
    <mergeCell ref="G5:J5"/>
    <mergeCell ref="H117:J117"/>
    <mergeCell ref="J92:Q92"/>
    <mergeCell ref="B5:E5"/>
    <mergeCell ref="R57:Y57"/>
    <mergeCell ref="B116:D116"/>
    <mergeCell ref="J40:Q40"/>
    <mergeCell ref="B58:I58"/>
    <mergeCell ref="B112:D112"/>
    <mergeCell ref="N116:P116"/>
    <mergeCell ref="R9:U9"/>
    <mergeCell ref="K115:M115"/>
  </mergeCells>
  <conditionalFormatting sqref="J10">
    <cfRule type="expression" dxfId="17" priority="1">
      <formula>$J$10&gt;TargetAttr</formula>
    </cfRule>
    <cfRule type="expression" dxfId="16" priority="2">
      <formula>$J$10&lt;=TargetAttr</formula>
    </cfRule>
  </conditionalFormatting>
  <conditionalFormatting sqref="U42:X49">
    <cfRule type="colorScale" priority="3">
      <colorScale>
        <cfvo type="min"/>
        <cfvo type="percentile" val="50"/>
        <cfvo type="max"/>
        <color rgb="FFDCFCE7"/>
        <color rgb="FFFEF3C7"/>
        <color rgb="FFFCA5A5"/>
      </colorScale>
    </cfRule>
  </conditionalFormatting>
  <conditionalFormatting sqref="Y42:Y49">
    <cfRule type="cellIs" dxfId="15" priority="4" operator="greaterThan">
      <formula>TargetAttr</formula>
    </cfRule>
  </conditionalFormatting>
  <conditionalFormatting sqref="K110:K117">
    <cfRule type="dataBar" priority="5">
      <dataBar>
        <cfvo type="num" val="0"/>
        <cfvo type="num" val="0.5"/>
        <color rgb="FFFDA4AF"/>
      </dataBar>
    </cfRule>
  </conditionalFormatting>
  <conditionalFormatting sqref="B110:Y117">
    <cfRule type="expression" dxfId="14" priority="6">
      <formula>AND($B110&lt;&gt;"",$B110=$B$6)</formula>
    </cfRule>
  </conditionalFormatting>
  <dataValidations count="3">
    <dataValidation type="list" showErrorMessage="1" errorTitle="Pick from the list" error="Choose a value from the dropdown." sqref="B6">
      <formula1>DeptList</formula1>
    </dataValidation>
    <dataValidation type="list" showErrorMessage="1" errorTitle="Pick from the list" error="Choose a value from the dropdown." sqref="G6">
      <formula1>SatList</formula1>
    </dataValidation>
    <dataValidation type="list" showErrorMessage="1" errorTitle="Pick from the list" error="Choose a value from the dropdown." sqref="L6">
      <formula1>PromList</formula1>
    </dataValidation>
  </dataValidations>
  <pageMargins left="0.3" right="0.3" top="1" bottom="1" header="0.5" footer="0.5"/>
  <pageSetup fitToHeight="0" orientation="landscape"/>
  <rowBreaks count="2" manualBreakCount="2">
    <brk id="54" max="16383" man="1"/>
    <brk id="88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H801"/>
  <sheetViews>
    <sheetView workbookViewId="0">
      <pane ySplit="1" topLeftCell="A2" activePane="bottomLeft" state="frozen"/>
      <selection pane="bottomLeft" activeCell="H2" sqref="H1:H1048576"/>
    </sheetView>
  </sheetViews>
  <sheetFormatPr defaultRowHeight="15" x14ac:dyDescent="0.25"/>
  <cols>
    <col min="1" max="1" width="18.85546875" bestFit="1" customWidth="1"/>
    <col min="2" max="2" width="10" bestFit="1" customWidth="1"/>
    <col min="3" max="3" width="18.140625" bestFit="1" customWidth="1"/>
    <col min="4" max="4" width="12" customWidth="1"/>
    <col min="5" max="5" width="25.7109375" bestFit="1" customWidth="1"/>
    <col min="6" max="6" width="22.140625" bestFit="1" customWidth="1"/>
    <col min="7" max="7" width="29.85546875" bestFit="1" customWidth="1"/>
    <col min="8" max="8" width="14.5703125" bestFit="1" customWidth="1"/>
  </cols>
  <sheetData>
    <row r="1" spans="1:8" ht="24" customHeight="1" x14ac:dyDescent="0.25">
      <c r="A1" s="24" t="s">
        <v>56</v>
      </c>
      <c r="B1" s="24" t="s">
        <v>57</v>
      </c>
      <c r="C1" s="24" t="s">
        <v>26</v>
      </c>
      <c r="D1" s="24" t="s">
        <v>58</v>
      </c>
      <c r="E1" s="24" t="s">
        <v>59</v>
      </c>
      <c r="F1" s="24" t="s">
        <v>60</v>
      </c>
      <c r="G1" s="24" t="s">
        <v>61</v>
      </c>
      <c r="H1" s="24" t="s">
        <v>62</v>
      </c>
    </row>
    <row r="2" spans="1:8" ht="15.75" x14ac:dyDescent="0.25">
      <c r="A2" s="25" t="s">
        <v>63</v>
      </c>
      <c r="B2" s="25">
        <v>38</v>
      </c>
      <c r="C2" s="25" t="s">
        <v>64</v>
      </c>
      <c r="D2" s="26">
        <v>46639</v>
      </c>
      <c r="E2" s="25">
        <v>5</v>
      </c>
      <c r="F2" s="25">
        <v>1</v>
      </c>
      <c r="G2" s="25">
        <v>0</v>
      </c>
      <c r="H2" s="25" t="s">
        <v>65</v>
      </c>
    </row>
    <row r="3" spans="1:8" ht="15.75" x14ac:dyDescent="0.25">
      <c r="A3" s="25" t="s">
        <v>66</v>
      </c>
      <c r="B3" s="25">
        <v>55</v>
      </c>
      <c r="C3" s="25" t="s">
        <v>67</v>
      </c>
      <c r="D3" s="26">
        <v>115030</v>
      </c>
      <c r="E3" s="25">
        <v>9</v>
      </c>
      <c r="F3" s="25">
        <v>2</v>
      </c>
      <c r="G3" s="25">
        <v>0</v>
      </c>
      <c r="H3" s="25" t="s">
        <v>68</v>
      </c>
    </row>
    <row r="4" spans="1:8" ht="15.75" x14ac:dyDescent="0.25">
      <c r="A4" s="25" t="s">
        <v>69</v>
      </c>
      <c r="B4" s="25">
        <v>37</v>
      </c>
      <c r="C4" s="25" t="s">
        <v>70</v>
      </c>
      <c r="D4" s="26">
        <v>94566</v>
      </c>
      <c r="E4" s="25">
        <v>1</v>
      </c>
      <c r="F4" s="25">
        <v>1</v>
      </c>
      <c r="G4" s="25">
        <v>0</v>
      </c>
      <c r="H4" s="25" t="s">
        <v>65</v>
      </c>
    </row>
    <row r="5" spans="1:8" ht="15.75" x14ac:dyDescent="0.25">
      <c r="A5" s="25" t="s">
        <v>71</v>
      </c>
      <c r="B5" s="25">
        <v>56</v>
      </c>
      <c r="C5" s="25" t="s">
        <v>64</v>
      </c>
      <c r="D5" s="26">
        <v>72011</v>
      </c>
      <c r="E5" s="25">
        <v>6</v>
      </c>
      <c r="F5" s="25">
        <v>2</v>
      </c>
      <c r="G5" s="25">
        <v>1</v>
      </c>
      <c r="H5" s="25" t="s">
        <v>65</v>
      </c>
    </row>
    <row r="6" spans="1:8" ht="15.75" x14ac:dyDescent="0.25">
      <c r="A6" s="25" t="s">
        <v>72</v>
      </c>
      <c r="B6" s="25">
        <v>48</v>
      </c>
      <c r="C6" s="25" t="s">
        <v>67</v>
      </c>
      <c r="D6" s="26">
        <v>48640</v>
      </c>
      <c r="E6" s="25">
        <v>16</v>
      </c>
      <c r="F6" s="25">
        <v>3</v>
      </c>
      <c r="G6" s="25">
        <v>0</v>
      </c>
      <c r="H6" s="25" t="s">
        <v>68</v>
      </c>
    </row>
    <row r="7" spans="1:8" ht="15.75" x14ac:dyDescent="0.25">
      <c r="A7" s="25" t="s">
        <v>73</v>
      </c>
      <c r="B7" s="25">
        <v>35</v>
      </c>
      <c r="C7" s="25" t="s">
        <v>67</v>
      </c>
      <c r="D7" s="26">
        <v>65402</v>
      </c>
      <c r="E7" s="25">
        <v>2</v>
      </c>
      <c r="F7" s="25">
        <v>2</v>
      </c>
      <c r="G7" s="25">
        <v>0</v>
      </c>
      <c r="H7" s="25" t="s">
        <v>65</v>
      </c>
    </row>
    <row r="8" spans="1:8" ht="15.75" x14ac:dyDescent="0.25">
      <c r="A8" s="25" t="s">
        <v>74</v>
      </c>
      <c r="B8" s="25">
        <v>39</v>
      </c>
      <c r="C8" s="25" t="s">
        <v>70</v>
      </c>
      <c r="D8" s="26">
        <v>95088</v>
      </c>
      <c r="E8" s="25">
        <v>19</v>
      </c>
      <c r="F8" s="25">
        <v>4</v>
      </c>
      <c r="G8" s="25">
        <v>1</v>
      </c>
      <c r="H8" s="25" t="s">
        <v>65</v>
      </c>
    </row>
    <row r="9" spans="1:8" ht="15.75" x14ac:dyDescent="0.25">
      <c r="A9" s="25" t="s">
        <v>75</v>
      </c>
      <c r="B9" s="25">
        <v>42</v>
      </c>
      <c r="C9" s="25" t="s">
        <v>70</v>
      </c>
      <c r="D9" s="26">
        <v>90240</v>
      </c>
      <c r="E9" s="25">
        <v>11</v>
      </c>
      <c r="F9" s="25">
        <v>2</v>
      </c>
      <c r="G9" s="25">
        <v>0</v>
      </c>
      <c r="H9" s="25" t="s">
        <v>65</v>
      </c>
    </row>
    <row r="10" spans="1:8" ht="15.75" x14ac:dyDescent="0.25">
      <c r="A10" s="25" t="s">
        <v>76</v>
      </c>
      <c r="B10" s="25">
        <v>26</v>
      </c>
      <c r="C10" s="25" t="s">
        <v>70</v>
      </c>
      <c r="D10" s="26">
        <v>31891</v>
      </c>
      <c r="E10" s="25">
        <v>1</v>
      </c>
      <c r="F10" s="25">
        <v>3</v>
      </c>
      <c r="G10" s="25">
        <v>1</v>
      </c>
      <c r="H10" s="25" t="s">
        <v>65</v>
      </c>
    </row>
    <row r="11" spans="1:8" ht="15.75" x14ac:dyDescent="0.25">
      <c r="A11" s="25" t="s">
        <v>77</v>
      </c>
      <c r="B11" s="25">
        <v>27</v>
      </c>
      <c r="C11" s="25" t="s">
        <v>78</v>
      </c>
      <c r="D11" s="26">
        <v>58259</v>
      </c>
      <c r="E11" s="25">
        <v>6</v>
      </c>
      <c r="F11" s="25">
        <v>2</v>
      </c>
      <c r="G11" s="25">
        <v>0</v>
      </c>
      <c r="H11" s="25" t="s">
        <v>65</v>
      </c>
    </row>
    <row r="12" spans="1:8" ht="15.75" x14ac:dyDescent="0.25">
      <c r="A12" s="25" t="s">
        <v>79</v>
      </c>
      <c r="B12" s="25">
        <v>29</v>
      </c>
      <c r="C12" s="25" t="s">
        <v>67</v>
      </c>
      <c r="D12" s="26">
        <v>93021</v>
      </c>
      <c r="E12" s="25">
        <v>16</v>
      </c>
      <c r="F12" s="25">
        <v>2</v>
      </c>
      <c r="G12" s="25">
        <v>0</v>
      </c>
      <c r="H12" s="25" t="s">
        <v>65</v>
      </c>
    </row>
    <row r="13" spans="1:8" ht="15.75" x14ac:dyDescent="0.25">
      <c r="A13" s="25" t="s">
        <v>80</v>
      </c>
      <c r="B13" s="25">
        <v>40</v>
      </c>
      <c r="C13" s="25" t="s">
        <v>70</v>
      </c>
      <c r="D13" s="26">
        <v>58987</v>
      </c>
      <c r="E13" s="25">
        <v>18</v>
      </c>
      <c r="F13" s="25">
        <v>3</v>
      </c>
      <c r="G13" s="25">
        <v>0</v>
      </c>
      <c r="H13" s="25" t="s">
        <v>65</v>
      </c>
    </row>
    <row r="14" spans="1:8" ht="15.75" x14ac:dyDescent="0.25">
      <c r="A14" s="25" t="s">
        <v>81</v>
      </c>
      <c r="B14" s="25">
        <v>57</v>
      </c>
      <c r="C14" s="25" t="s">
        <v>78</v>
      </c>
      <c r="D14" s="26">
        <v>82616</v>
      </c>
      <c r="E14" s="25">
        <v>11</v>
      </c>
      <c r="F14" s="25">
        <v>1</v>
      </c>
      <c r="G14" s="25">
        <v>0</v>
      </c>
      <c r="H14" s="25" t="s">
        <v>65</v>
      </c>
    </row>
    <row r="15" spans="1:8" ht="15.75" x14ac:dyDescent="0.25">
      <c r="A15" s="25" t="s">
        <v>82</v>
      </c>
      <c r="B15" s="25">
        <v>31</v>
      </c>
      <c r="C15" s="25" t="s">
        <v>83</v>
      </c>
      <c r="D15" s="26">
        <v>40683</v>
      </c>
      <c r="E15" s="25">
        <v>8</v>
      </c>
      <c r="F15" s="25">
        <v>1</v>
      </c>
      <c r="G15" s="25">
        <v>1</v>
      </c>
      <c r="H15" s="25" t="s">
        <v>65</v>
      </c>
    </row>
    <row r="16" spans="1:8" ht="15.75" x14ac:dyDescent="0.25">
      <c r="A16" s="25" t="s">
        <v>84</v>
      </c>
      <c r="B16" s="25">
        <v>22</v>
      </c>
      <c r="C16" s="25" t="s">
        <v>83</v>
      </c>
      <c r="D16" s="26">
        <v>91083</v>
      </c>
      <c r="E16" s="25">
        <v>13</v>
      </c>
      <c r="F16" s="25">
        <v>4</v>
      </c>
      <c r="G16" s="25">
        <v>1</v>
      </c>
      <c r="H16" s="25" t="s">
        <v>68</v>
      </c>
    </row>
    <row r="17" spans="1:8" ht="15.75" x14ac:dyDescent="0.25">
      <c r="A17" s="25" t="s">
        <v>85</v>
      </c>
      <c r="B17" s="25">
        <v>42</v>
      </c>
      <c r="C17" s="25" t="s">
        <v>83</v>
      </c>
      <c r="D17" s="26">
        <v>39967</v>
      </c>
      <c r="E17" s="25">
        <v>1</v>
      </c>
      <c r="F17" s="25">
        <v>4</v>
      </c>
      <c r="G17" s="25">
        <v>0</v>
      </c>
      <c r="H17" s="25" t="s">
        <v>65</v>
      </c>
    </row>
    <row r="18" spans="1:8" ht="15.75" x14ac:dyDescent="0.25">
      <c r="A18" s="25" t="s">
        <v>86</v>
      </c>
      <c r="B18" s="25">
        <v>56</v>
      </c>
      <c r="C18" s="25" t="s">
        <v>67</v>
      </c>
      <c r="D18" s="26">
        <v>107664</v>
      </c>
      <c r="E18" s="25">
        <v>3</v>
      </c>
      <c r="F18" s="25">
        <v>2</v>
      </c>
      <c r="G18" s="25">
        <v>1</v>
      </c>
      <c r="H18" s="25" t="s">
        <v>65</v>
      </c>
    </row>
    <row r="19" spans="1:8" ht="15.75" x14ac:dyDescent="0.25">
      <c r="A19" s="25" t="s">
        <v>87</v>
      </c>
      <c r="B19" s="25">
        <v>25</v>
      </c>
      <c r="C19" s="25" t="s">
        <v>78</v>
      </c>
      <c r="D19" s="26">
        <v>70194</v>
      </c>
      <c r="E19" s="25">
        <v>18</v>
      </c>
      <c r="F19" s="25">
        <v>1</v>
      </c>
      <c r="G19" s="25">
        <v>0</v>
      </c>
      <c r="H19" s="25" t="s">
        <v>65</v>
      </c>
    </row>
    <row r="20" spans="1:8" ht="15.75" x14ac:dyDescent="0.25">
      <c r="A20" s="25" t="s">
        <v>88</v>
      </c>
      <c r="B20" s="25">
        <v>27</v>
      </c>
      <c r="C20" s="25" t="s">
        <v>78</v>
      </c>
      <c r="D20" s="26">
        <v>115873</v>
      </c>
      <c r="E20" s="25">
        <v>15</v>
      </c>
      <c r="F20" s="25">
        <v>1</v>
      </c>
      <c r="G20" s="25">
        <v>1</v>
      </c>
      <c r="H20" s="25" t="s">
        <v>65</v>
      </c>
    </row>
    <row r="21" spans="1:8" ht="15.75" x14ac:dyDescent="0.25">
      <c r="A21" s="25" t="s">
        <v>89</v>
      </c>
      <c r="B21" s="25">
        <v>26</v>
      </c>
      <c r="C21" s="25" t="s">
        <v>83</v>
      </c>
      <c r="D21" s="26">
        <v>92661</v>
      </c>
      <c r="E21" s="25">
        <v>16</v>
      </c>
      <c r="F21" s="25">
        <v>2</v>
      </c>
      <c r="G21" s="25">
        <v>1</v>
      </c>
      <c r="H21" s="25" t="s">
        <v>65</v>
      </c>
    </row>
    <row r="22" spans="1:8" ht="15.75" x14ac:dyDescent="0.25">
      <c r="A22" s="25" t="s">
        <v>90</v>
      </c>
      <c r="B22" s="25">
        <v>42</v>
      </c>
      <c r="C22" s="25" t="s">
        <v>64</v>
      </c>
      <c r="D22" s="26">
        <v>117738</v>
      </c>
      <c r="E22" s="25">
        <v>1</v>
      </c>
      <c r="F22" s="25">
        <v>3</v>
      </c>
      <c r="G22" s="25">
        <v>0</v>
      </c>
      <c r="H22" s="25" t="s">
        <v>65</v>
      </c>
    </row>
    <row r="23" spans="1:8" ht="15.75" x14ac:dyDescent="0.25">
      <c r="A23" s="25" t="s">
        <v>91</v>
      </c>
      <c r="B23" s="25">
        <v>30</v>
      </c>
      <c r="C23" s="25" t="s">
        <v>83</v>
      </c>
      <c r="D23" s="26">
        <v>102307</v>
      </c>
      <c r="E23" s="25">
        <v>16</v>
      </c>
      <c r="F23" s="25">
        <v>1</v>
      </c>
      <c r="G23" s="25">
        <v>0</v>
      </c>
      <c r="H23" s="25" t="s">
        <v>65</v>
      </c>
    </row>
    <row r="24" spans="1:8" ht="15.75" x14ac:dyDescent="0.25">
      <c r="A24" s="25" t="s">
        <v>92</v>
      </c>
      <c r="B24" s="25">
        <v>40</v>
      </c>
      <c r="C24" s="25" t="s">
        <v>67</v>
      </c>
      <c r="D24" s="26">
        <v>73452</v>
      </c>
      <c r="E24" s="25">
        <v>18</v>
      </c>
      <c r="F24" s="25">
        <v>4</v>
      </c>
      <c r="G24" s="25">
        <v>1</v>
      </c>
      <c r="H24" s="25" t="s">
        <v>65</v>
      </c>
    </row>
    <row r="25" spans="1:8" ht="15.75" x14ac:dyDescent="0.25">
      <c r="A25" s="25" t="s">
        <v>93</v>
      </c>
      <c r="B25" s="25">
        <v>48</v>
      </c>
      <c r="C25" s="25" t="s">
        <v>83</v>
      </c>
      <c r="D25" s="26">
        <v>42857</v>
      </c>
      <c r="E25" s="25">
        <v>7</v>
      </c>
      <c r="F25" s="25">
        <v>2</v>
      </c>
      <c r="G25" s="25">
        <v>0</v>
      </c>
      <c r="H25" s="25" t="s">
        <v>65</v>
      </c>
    </row>
    <row r="26" spans="1:8" ht="15.75" x14ac:dyDescent="0.25">
      <c r="A26" s="25" t="s">
        <v>94</v>
      </c>
      <c r="B26" s="25">
        <v>43</v>
      </c>
      <c r="C26" s="25" t="s">
        <v>83</v>
      </c>
      <c r="D26" s="26">
        <v>61301</v>
      </c>
      <c r="E26" s="25">
        <v>19</v>
      </c>
      <c r="F26" s="25">
        <v>3</v>
      </c>
      <c r="G26" s="25">
        <v>1</v>
      </c>
      <c r="H26" s="25" t="s">
        <v>65</v>
      </c>
    </row>
    <row r="27" spans="1:8" ht="15.75" x14ac:dyDescent="0.25">
      <c r="A27" s="25" t="s">
        <v>95</v>
      </c>
      <c r="B27" s="25">
        <v>55</v>
      </c>
      <c r="C27" s="25" t="s">
        <v>78</v>
      </c>
      <c r="D27" s="26">
        <v>85900</v>
      </c>
      <c r="E27" s="25">
        <v>5</v>
      </c>
      <c r="F27" s="25">
        <v>4</v>
      </c>
      <c r="G27" s="25">
        <v>0</v>
      </c>
      <c r="H27" s="25" t="s">
        <v>65</v>
      </c>
    </row>
    <row r="28" spans="1:8" ht="15.75" x14ac:dyDescent="0.25">
      <c r="A28" s="25" t="s">
        <v>96</v>
      </c>
      <c r="B28" s="25">
        <v>21</v>
      </c>
      <c r="C28" s="25" t="s">
        <v>83</v>
      </c>
      <c r="D28" s="26">
        <v>61460</v>
      </c>
      <c r="E28" s="25">
        <v>11</v>
      </c>
      <c r="F28" s="25">
        <v>1</v>
      </c>
      <c r="G28" s="25">
        <v>0</v>
      </c>
      <c r="H28" s="25" t="s">
        <v>65</v>
      </c>
    </row>
    <row r="29" spans="1:8" ht="15.75" x14ac:dyDescent="0.25">
      <c r="A29" s="25" t="s">
        <v>97</v>
      </c>
      <c r="B29" s="25">
        <v>49</v>
      </c>
      <c r="C29" s="25" t="s">
        <v>70</v>
      </c>
      <c r="D29" s="26">
        <v>116923</v>
      </c>
      <c r="E29" s="25">
        <v>17</v>
      </c>
      <c r="F29" s="25">
        <v>3</v>
      </c>
      <c r="G29" s="25">
        <v>0</v>
      </c>
      <c r="H29" s="25" t="s">
        <v>68</v>
      </c>
    </row>
    <row r="30" spans="1:8" ht="15.75" x14ac:dyDescent="0.25">
      <c r="A30" s="25" t="s">
        <v>98</v>
      </c>
      <c r="B30" s="25">
        <v>29</v>
      </c>
      <c r="C30" s="25" t="s">
        <v>70</v>
      </c>
      <c r="D30" s="26">
        <v>79800</v>
      </c>
      <c r="E30" s="25">
        <v>1</v>
      </c>
      <c r="F30" s="25">
        <v>4</v>
      </c>
      <c r="G30" s="25">
        <v>0</v>
      </c>
      <c r="H30" s="25" t="s">
        <v>65</v>
      </c>
    </row>
    <row r="31" spans="1:8" ht="15.75" x14ac:dyDescent="0.25">
      <c r="A31" s="25" t="s">
        <v>99</v>
      </c>
      <c r="B31" s="25">
        <v>29</v>
      </c>
      <c r="C31" s="25" t="s">
        <v>64</v>
      </c>
      <c r="D31" s="26">
        <v>39832</v>
      </c>
      <c r="E31" s="25">
        <v>18</v>
      </c>
      <c r="F31" s="25">
        <v>2</v>
      </c>
      <c r="G31" s="25">
        <v>0</v>
      </c>
      <c r="H31" s="25" t="s">
        <v>65</v>
      </c>
    </row>
    <row r="32" spans="1:8" ht="15.75" x14ac:dyDescent="0.25">
      <c r="A32" s="25" t="s">
        <v>100</v>
      </c>
      <c r="B32" s="25">
        <v>42</v>
      </c>
      <c r="C32" s="25" t="s">
        <v>67</v>
      </c>
      <c r="D32" s="26">
        <v>77408</v>
      </c>
      <c r="E32" s="25">
        <v>9</v>
      </c>
      <c r="F32" s="25">
        <v>3</v>
      </c>
      <c r="G32" s="25">
        <v>0</v>
      </c>
      <c r="H32" s="25" t="s">
        <v>65</v>
      </c>
    </row>
    <row r="33" spans="1:8" ht="15.75" x14ac:dyDescent="0.25">
      <c r="A33" s="25" t="s">
        <v>101</v>
      </c>
      <c r="B33" s="25">
        <v>22</v>
      </c>
      <c r="C33" s="25" t="s">
        <v>67</v>
      </c>
      <c r="D33" s="26">
        <v>42626</v>
      </c>
      <c r="E33" s="25">
        <v>2</v>
      </c>
      <c r="F33" s="25">
        <v>3</v>
      </c>
      <c r="G33" s="25">
        <v>0</v>
      </c>
      <c r="H33" s="25" t="s">
        <v>65</v>
      </c>
    </row>
    <row r="34" spans="1:8" ht="15.75" x14ac:dyDescent="0.25">
      <c r="A34" s="25" t="s">
        <v>102</v>
      </c>
      <c r="B34" s="25">
        <v>36</v>
      </c>
      <c r="C34" s="25" t="s">
        <v>78</v>
      </c>
      <c r="D34" s="26">
        <v>87872</v>
      </c>
      <c r="E34" s="25">
        <v>11</v>
      </c>
      <c r="F34" s="25">
        <v>2</v>
      </c>
      <c r="G34" s="25">
        <v>1</v>
      </c>
      <c r="H34" s="25" t="s">
        <v>65</v>
      </c>
    </row>
    <row r="35" spans="1:8" ht="15.75" x14ac:dyDescent="0.25">
      <c r="A35" s="25" t="s">
        <v>103</v>
      </c>
      <c r="B35" s="25">
        <v>26</v>
      </c>
      <c r="C35" s="25" t="s">
        <v>67</v>
      </c>
      <c r="D35" s="26">
        <v>114021</v>
      </c>
      <c r="E35" s="25">
        <v>15</v>
      </c>
      <c r="F35" s="25">
        <v>1</v>
      </c>
      <c r="G35" s="25">
        <v>0</v>
      </c>
      <c r="H35" s="25" t="s">
        <v>65</v>
      </c>
    </row>
    <row r="36" spans="1:8" ht="15.75" x14ac:dyDescent="0.25">
      <c r="A36" s="25" t="s">
        <v>104</v>
      </c>
      <c r="B36" s="25">
        <v>33</v>
      </c>
      <c r="C36" s="25" t="s">
        <v>64</v>
      </c>
      <c r="D36" s="26">
        <v>108959</v>
      </c>
      <c r="E36" s="25">
        <v>11</v>
      </c>
      <c r="F36" s="25">
        <v>1</v>
      </c>
      <c r="G36" s="25">
        <v>1</v>
      </c>
      <c r="H36" s="25" t="s">
        <v>65</v>
      </c>
    </row>
    <row r="37" spans="1:8" ht="15.75" x14ac:dyDescent="0.25">
      <c r="A37" s="25" t="s">
        <v>105</v>
      </c>
      <c r="B37" s="25">
        <v>53</v>
      </c>
      <c r="C37" s="25" t="s">
        <v>70</v>
      </c>
      <c r="D37" s="26">
        <v>46802</v>
      </c>
      <c r="E37" s="25">
        <v>7</v>
      </c>
      <c r="F37" s="25">
        <v>3</v>
      </c>
      <c r="G37" s="25">
        <v>0</v>
      </c>
      <c r="H37" s="25" t="s">
        <v>65</v>
      </c>
    </row>
    <row r="38" spans="1:8" ht="15.75" x14ac:dyDescent="0.25">
      <c r="A38" s="25" t="s">
        <v>106</v>
      </c>
      <c r="B38" s="25">
        <v>39</v>
      </c>
      <c r="C38" s="25" t="s">
        <v>78</v>
      </c>
      <c r="D38" s="26">
        <v>46333</v>
      </c>
      <c r="E38" s="25">
        <v>4</v>
      </c>
      <c r="F38" s="25">
        <v>3</v>
      </c>
      <c r="G38" s="25">
        <v>0</v>
      </c>
      <c r="H38" s="25" t="s">
        <v>68</v>
      </c>
    </row>
    <row r="39" spans="1:8" ht="15.75" x14ac:dyDescent="0.25">
      <c r="A39" s="25" t="s">
        <v>107</v>
      </c>
      <c r="B39" s="25">
        <v>35</v>
      </c>
      <c r="C39" s="25" t="s">
        <v>70</v>
      </c>
      <c r="D39" s="26">
        <v>65120</v>
      </c>
      <c r="E39" s="25">
        <v>10</v>
      </c>
      <c r="F39" s="25">
        <v>3</v>
      </c>
      <c r="G39" s="25">
        <v>1</v>
      </c>
      <c r="H39" s="25" t="s">
        <v>65</v>
      </c>
    </row>
    <row r="40" spans="1:8" ht="15.75" x14ac:dyDescent="0.25">
      <c r="A40" s="25" t="s">
        <v>108</v>
      </c>
      <c r="B40" s="25">
        <v>53</v>
      </c>
      <c r="C40" s="25" t="s">
        <v>64</v>
      </c>
      <c r="D40" s="26">
        <v>52159</v>
      </c>
      <c r="E40" s="25">
        <v>9</v>
      </c>
      <c r="F40" s="25">
        <v>4</v>
      </c>
      <c r="G40" s="25">
        <v>0</v>
      </c>
      <c r="H40" s="25" t="s">
        <v>65</v>
      </c>
    </row>
    <row r="41" spans="1:8" ht="15.75" x14ac:dyDescent="0.25">
      <c r="A41" s="25" t="s">
        <v>109</v>
      </c>
      <c r="B41" s="25">
        <v>30</v>
      </c>
      <c r="C41" s="25" t="s">
        <v>78</v>
      </c>
      <c r="D41" s="26">
        <v>54660</v>
      </c>
      <c r="E41" s="25">
        <v>2</v>
      </c>
      <c r="F41" s="25">
        <v>3</v>
      </c>
      <c r="G41" s="25">
        <v>1</v>
      </c>
      <c r="H41" s="25" t="s">
        <v>65</v>
      </c>
    </row>
    <row r="42" spans="1:8" ht="15.75" x14ac:dyDescent="0.25">
      <c r="A42" s="25" t="s">
        <v>110</v>
      </c>
      <c r="B42" s="25">
        <v>21</v>
      </c>
      <c r="C42" s="25" t="s">
        <v>83</v>
      </c>
      <c r="D42" s="26">
        <v>86843</v>
      </c>
      <c r="E42" s="25">
        <v>8</v>
      </c>
      <c r="F42" s="25">
        <v>1</v>
      </c>
      <c r="G42" s="25">
        <v>0</v>
      </c>
      <c r="H42" s="25" t="s">
        <v>65</v>
      </c>
    </row>
    <row r="43" spans="1:8" ht="15.75" x14ac:dyDescent="0.25">
      <c r="A43" s="25" t="s">
        <v>111</v>
      </c>
      <c r="B43" s="25">
        <v>32</v>
      </c>
      <c r="C43" s="25" t="s">
        <v>67</v>
      </c>
      <c r="D43" s="26">
        <v>64519</v>
      </c>
      <c r="E43" s="25">
        <v>11</v>
      </c>
      <c r="F43" s="25">
        <v>2</v>
      </c>
      <c r="G43" s="25">
        <v>0</v>
      </c>
      <c r="H43" s="25" t="s">
        <v>65</v>
      </c>
    </row>
    <row r="44" spans="1:8" ht="15.75" x14ac:dyDescent="0.25">
      <c r="A44" s="25" t="s">
        <v>112</v>
      </c>
      <c r="B44" s="25">
        <v>49</v>
      </c>
      <c r="C44" s="25" t="s">
        <v>64</v>
      </c>
      <c r="D44" s="26">
        <v>114577</v>
      </c>
      <c r="E44" s="25">
        <v>5</v>
      </c>
      <c r="F44" s="25">
        <v>2</v>
      </c>
      <c r="G44" s="25">
        <v>1</v>
      </c>
      <c r="H44" s="25" t="s">
        <v>65</v>
      </c>
    </row>
    <row r="45" spans="1:8" ht="15.75" x14ac:dyDescent="0.25">
      <c r="A45" s="25" t="s">
        <v>113</v>
      </c>
      <c r="B45" s="25">
        <v>37</v>
      </c>
      <c r="C45" s="25" t="s">
        <v>78</v>
      </c>
      <c r="D45" s="26">
        <v>74935</v>
      </c>
      <c r="E45" s="25">
        <v>18</v>
      </c>
      <c r="F45" s="25">
        <v>2</v>
      </c>
      <c r="G45" s="25">
        <v>0</v>
      </c>
      <c r="H45" s="25" t="s">
        <v>65</v>
      </c>
    </row>
    <row r="46" spans="1:8" ht="15.75" x14ac:dyDescent="0.25">
      <c r="A46" s="25" t="s">
        <v>114</v>
      </c>
      <c r="B46" s="25">
        <v>24</v>
      </c>
      <c r="C46" s="25" t="s">
        <v>70</v>
      </c>
      <c r="D46" s="26">
        <v>52507</v>
      </c>
      <c r="E46" s="25">
        <v>15</v>
      </c>
      <c r="F46" s="25">
        <v>3</v>
      </c>
      <c r="G46" s="25">
        <v>0</v>
      </c>
      <c r="H46" s="25" t="s">
        <v>65</v>
      </c>
    </row>
    <row r="47" spans="1:8" ht="15.75" x14ac:dyDescent="0.25">
      <c r="A47" s="25" t="s">
        <v>115</v>
      </c>
      <c r="B47" s="25">
        <v>49</v>
      </c>
      <c r="C47" s="25" t="s">
        <v>78</v>
      </c>
      <c r="D47" s="26">
        <v>101060</v>
      </c>
      <c r="E47" s="25">
        <v>13</v>
      </c>
      <c r="F47" s="25">
        <v>3</v>
      </c>
      <c r="G47" s="25">
        <v>0</v>
      </c>
      <c r="H47" s="25" t="s">
        <v>68</v>
      </c>
    </row>
    <row r="48" spans="1:8" ht="15.75" x14ac:dyDescent="0.25">
      <c r="A48" s="25" t="s">
        <v>116</v>
      </c>
      <c r="B48" s="25">
        <v>27</v>
      </c>
      <c r="C48" s="25" t="s">
        <v>83</v>
      </c>
      <c r="D48" s="26">
        <v>114271</v>
      </c>
      <c r="E48" s="25">
        <v>3</v>
      </c>
      <c r="F48" s="25">
        <v>2</v>
      </c>
      <c r="G48" s="25">
        <v>1</v>
      </c>
      <c r="H48" s="25" t="s">
        <v>68</v>
      </c>
    </row>
    <row r="49" spans="1:8" ht="15.75" x14ac:dyDescent="0.25">
      <c r="A49" s="25" t="s">
        <v>117</v>
      </c>
      <c r="B49" s="25">
        <v>33</v>
      </c>
      <c r="C49" s="25" t="s">
        <v>64</v>
      </c>
      <c r="D49" s="26">
        <v>87223</v>
      </c>
      <c r="E49" s="25">
        <v>17</v>
      </c>
      <c r="F49" s="25">
        <v>4</v>
      </c>
      <c r="G49" s="25">
        <v>1</v>
      </c>
      <c r="H49" s="25" t="s">
        <v>65</v>
      </c>
    </row>
    <row r="50" spans="1:8" ht="15.75" x14ac:dyDescent="0.25">
      <c r="A50" s="25" t="s">
        <v>118</v>
      </c>
      <c r="B50" s="25">
        <v>25</v>
      </c>
      <c r="C50" s="25" t="s">
        <v>78</v>
      </c>
      <c r="D50" s="26">
        <v>57675</v>
      </c>
      <c r="E50" s="25">
        <v>9</v>
      </c>
      <c r="F50" s="25">
        <v>4</v>
      </c>
      <c r="G50" s="25">
        <v>0</v>
      </c>
      <c r="H50" s="25" t="s">
        <v>65</v>
      </c>
    </row>
    <row r="51" spans="1:8" ht="15.75" x14ac:dyDescent="0.25">
      <c r="A51" s="25" t="s">
        <v>119</v>
      </c>
      <c r="B51" s="25">
        <v>26</v>
      </c>
      <c r="C51" s="25" t="s">
        <v>64</v>
      </c>
      <c r="D51" s="26">
        <v>47673</v>
      </c>
      <c r="E51" s="25">
        <v>17</v>
      </c>
      <c r="F51" s="25">
        <v>4</v>
      </c>
      <c r="G51" s="25">
        <v>1</v>
      </c>
      <c r="H51" s="25" t="s">
        <v>65</v>
      </c>
    </row>
    <row r="52" spans="1:8" ht="15.75" x14ac:dyDescent="0.25">
      <c r="A52" s="25" t="s">
        <v>120</v>
      </c>
      <c r="B52" s="25">
        <v>54</v>
      </c>
      <c r="C52" s="25" t="s">
        <v>64</v>
      </c>
      <c r="D52" s="26">
        <v>65470</v>
      </c>
      <c r="E52" s="25">
        <v>11</v>
      </c>
      <c r="F52" s="25">
        <v>4</v>
      </c>
      <c r="G52" s="25">
        <v>1</v>
      </c>
      <c r="H52" s="25" t="s">
        <v>65</v>
      </c>
    </row>
    <row r="53" spans="1:8" ht="15.75" x14ac:dyDescent="0.25">
      <c r="A53" s="25" t="s">
        <v>121</v>
      </c>
      <c r="B53" s="25">
        <v>27</v>
      </c>
      <c r="C53" s="25" t="s">
        <v>70</v>
      </c>
      <c r="D53" s="26">
        <v>71603</v>
      </c>
      <c r="E53" s="25">
        <v>18</v>
      </c>
      <c r="F53" s="25">
        <v>1</v>
      </c>
      <c r="G53" s="25">
        <v>1</v>
      </c>
      <c r="H53" s="25" t="s">
        <v>68</v>
      </c>
    </row>
    <row r="54" spans="1:8" ht="15.75" x14ac:dyDescent="0.25">
      <c r="A54" s="25" t="s">
        <v>122</v>
      </c>
      <c r="B54" s="25">
        <v>48</v>
      </c>
      <c r="C54" s="25" t="s">
        <v>67</v>
      </c>
      <c r="D54" s="26">
        <v>114825</v>
      </c>
      <c r="E54" s="25">
        <v>7</v>
      </c>
      <c r="F54" s="25">
        <v>2</v>
      </c>
      <c r="G54" s="25">
        <v>0</v>
      </c>
      <c r="H54" s="25" t="s">
        <v>65</v>
      </c>
    </row>
    <row r="55" spans="1:8" ht="15.75" x14ac:dyDescent="0.25">
      <c r="A55" s="25" t="s">
        <v>123</v>
      </c>
      <c r="B55" s="25">
        <v>30</v>
      </c>
      <c r="C55" s="25" t="s">
        <v>83</v>
      </c>
      <c r="D55" s="26">
        <v>61230</v>
      </c>
      <c r="E55" s="25">
        <v>0</v>
      </c>
      <c r="F55" s="25">
        <v>1</v>
      </c>
      <c r="G55" s="25">
        <v>0</v>
      </c>
      <c r="H55" s="25" t="s">
        <v>65</v>
      </c>
    </row>
    <row r="56" spans="1:8" ht="15.75" x14ac:dyDescent="0.25">
      <c r="A56" s="25" t="s">
        <v>124</v>
      </c>
      <c r="B56" s="25">
        <v>24</v>
      </c>
      <c r="C56" s="25" t="s">
        <v>78</v>
      </c>
      <c r="D56" s="26">
        <v>44542</v>
      </c>
      <c r="E56" s="25">
        <v>13</v>
      </c>
      <c r="F56" s="25">
        <v>3</v>
      </c>
      <c r="G56" s="25">
        <v>1</v>
      </c>
      <c r="H56" s="25" t="s">
        <v>65</v>
      </c>
    </row>
    <row r="57" spans="1:8" ht="15.75" x14ac:dyDescent="0.25">
      <c r="A57" s="25" t="s">
        <v>125</v>
      </c>
      <c r="B57" s="25">
        <v>23</v>
      </c>
      <c r="C57" s="25" t="s">
        <v>67</v>
      </c>
      <c r="D57" s="26">
        <v>91407</v>
      </c>
      <c r="E57" s="25">
        <v>5</v>
      </c>
      <c r="F57" s="25">
        <v>4</v>
      </c>
      <c r="G57" s="25">
        <v>0</v>
      </c>
      <c r="H57" s="25" t="s">
        <v>65</v>
      </c>
    </row>
    <row r="58" spans="1:8" ht="15.75" x14ac:dyDescent="0.25">
      <c r="A58" s="25" t="s">
        <v>126</v>
      </c>
      <c r="B58" s="25">
        <v>45</v>
      </c>
      <c r="C58" s="25" t="s">
        <v>70</v>
      </c>
      <c r="D58" s="26">
        <v>83821</v>
      </c>
      <c r="E58" s="25">
        <v>13</v>
      </c>
      <c r="F58" s="25">
        <v>4</v>
      </c>
      <c r="G58" s="25">
        <v>1</v>
      </c>
      <c r="H58" s="25" t="s">
        <v>65</v>
      </c>
    </row>
    <row r="59" spans="1:8" ht="15.75" x14ac:dyDescent="0.25">
      <c r="A59" s="25" t="s">
        <v>127</v>
      </c>
      <c r="B59" s="25">
        <v>43</v>
      </c>
      <c r="C59" s="25" t="s">
        <v>67</v>
      </c>
      <c r="D59" s="26">
        <v>65690</v>
      </c>
      <c r="E59" s="25">
        <v>1</v>
      </c>
      <c r="F59" s="25">
        <v>2</v>
      </c>
      <c r="G59" s="25">
        <v>0</v>
      </c>
      <c r="H59" s="25" t="s">
        <v>65</v>
      </c>
    </row>
    <row r="60" spans="1:8" ht="15.75" x14ac:dyDescent="0.25">
      <c r="A60" s="25" t="s">
        <v>128</v>
      </c>
      <c r="B60" s="25">
        <v>47</v>
      </c>
      <c r="C60" s="25" t="s">
        <v>64</v>
      </c>
      <c r="D60" s="26">
        <v>36654</v>
      </c>
      <c r="E60" s="25">
        <v>8</v>
      </c>
      <c r="F60" s="25">
        <v>4</v>
      </c>
      <c r="G60" s="25">
        <v>0</v>
      </c>
      <c r="H60" s="25" t="s">
        <v>68</v>
      </c>
    </row>
    <row r="61" spans="1:8" ht="15.75" x14ac:dyDescent="0.25">
      <c r="A61" s="25" t="s">
        <v>129</v>
      </c>
      <c r="B61" s="25">
        <v>34</v>
      </c>
      <c r="C61" s="25" t="s">
        <v>64</v>
      </c>
      <c r="D61" s="26">
        <v>97557</v>
      </c>
      <c r="E61" s="25">
        <v>11</v>
      </c>
      <c r="F61" s="25">
        <v>2</v>
      </c>
      <c r="G61" s="25">
        <v>1</v>
      </c>
      <c r="H61" s="25" t="s">
        <v>65</v>
      </c>
    </row>
    <row r="62" spans="1:8" ht="15.75" x14ac:dyDescent="0.25">
      <c r="A62" s="25" t="s">
        <v>130</v>
      </c>
      <c r="B62" s="25">
        <v>58</v>
      </c>
      <c r="C62" s="25" t="s">
        <v>83</v>
      </c>
      <c r="D62" s="26">
        <v>115544</v>
      </c>
      <c r="E62" s="25">
        <v>4</v>
      </c>
      <c r="F62" s="25">
        <v>3</v>
      </c>
      <c r="G62" s="25">
        <v>1</v>
      </c>
      <c r="H62" s="25" t="s">
        <v>65</v>
      </c>
    </row>
    <row r="63" spans="1:8" ht="15.75" x14ac:dyDescent="0.25">
      <c r="A63" s="25" t="s">
        <v>131</v>
      </c>
      <c r="B63" s="25">
        <v>52</v>
      </c>
      <c r="C63" s="25" t="s">
        <v>78</v>
      </c>
      <c r="D63" s="26">
        <v>118264</v>
      </c>
      <c r="E63" s="25">
        <v>1</v>
      </c>
      <c r="F63" s="25">
        <v>4</v>
      </c>
      <c r="G63" s="25">
        <v>0</v>
      </c>
      <c r="H63" s="25" t="s">
        <v>68</v>
      </c>
    </row>
    <row r="64" spans="1:8" ht="15.75" x14ac:dyDescent="0.25">
      <c r="A64" s="25" t="s">
        <v>132</v>
      </c>
      <c r="B64" s="25">
        <v>43</v>
      </c>
      <c r="C64" s="25" t="s">
        <v>78</v>
      </c>
      <c r="D64" s="26">
        <v>119698</v>
      </c>
      <c r="E64" s="25">
        <v>18</v>
      </c>
      <c r="F64" s="25">
        <v>4</v>
      </c>
      <c r="G64" s="25">
        <v>0</v>
      </c>
      <c r="H64" s="25" t="s">
        <v>65</v>
      </c>
    </row>
    <row r="65" spans="1:8" ht="15.75" x14ac:dyDescent="0.25">
      <c r="A65" s="25" t="s">
        <v>133</v>
      </c>
      <c r="B65" s="25">
        <v>57</v>
      </c>
      <c r="C65" s="25" t="s">
        <v>70</v>
      </c>
      <c r="D65" s="26">
        <v>57446</v>
      </c>
      <c r="E65" s="25">
        <v>6</v>
      </c>
      <c r="F65" s="25">
        <v>1</v>
      </c>
      <c r="G65" s="25">
        <v>1</v>
      </c>
      <c r="H65" s="25" t="s">
        <v>65</v>
      </c>
    </row>
    <row r="66" spans="1:8" ht="15.75" x14ac:dyDescent="0.25">
      <c r="A66" s="25" t="s">
        <v>134</v>
      </c>
      <c r="B66" s="25">
        <v>23</v>
      </c>
      <c r="C66" s="25" t="s">
        <v>83</v>
      </c>
      <c r="D66" s="26">
        <v>78484</v>
      </c>
      <c r="E66" s="25">
        <v>6</v>
      </c>
      <c r="F66" s="25">
        <v>2</v>
      </c>
      <c r="G66" s="25">
        <v>1</v>
      </c>
      <c r="H66" s="25" t="s">
        <v>65</v>
      </c>
    </row>
    <row r="67" spans="1:8" ht="15.75" x14ac:dyDescent="0.25">
      <c r="A67" s="25" t="s">
        <v>135</v>
      </c>
      <c r="B67" s="25">
        <v>55</v>
      </c>
      <c r="C67" s="25" t="s">
        <v>78</v>
      </c>
      <c r="D67" s="26">
        <v>74078</v>
      </c>
      <c r="E67" s="25">
        <v>9</v>
      </c>
      <c r="F67" s="25">
        <v>2</v>
      </c>
      <c r="G67" s="25">
        <v>0</v>
      </c>
      <c r="H67" s="25" t="s">
        <v>65</v>
      </c>
    </row>
    <row r="68" spans="1:8" ht="15.75" x14ac:dyDescent="0.25">
      <c r="A68" s="25" t="s">
        <v>136</v>
      </c>
      <c r="B68" s="25">
        <v>33</v>
      </c>
      <c r="C68" s="25" t="s">
        <v>64</v>
      </c>
      <c r="D68" s="26">
        <v>34225</v>
      </c>
      <c r="E68" s="25">
        <v>16</v>
      </c>
      <c r="F68" s="25">
        <v>4</v>
      </c>
      <c r="G68" s="25">
        <v>0</v>
      </c>
      <c r="H68" s="25" t="s">
        <v>65</v>
      </c>
    </row>
    <row r="69" spans="1:8" ht="15.75" x14ac:dyDescent="0.25">
      <c r="A69" s="25" t="s">
        <v>137</v>
      </c>
      <c r="B69" s="25">
        <v>54</v>
      </c>
      <c r="C69" s="25" t="s">
        <v>83</v>
      </c>
      <c r="D69" s="26">
        <v>104745</v>
      </c>
      <c r="E69" s="25">
        <v>13</v>
      </c>
      <c r="F69" s="25">
        <v>1</v>
      </c>
      <c r="G69" s="25">
        <v>1</v>
      </c>
      <c r="H69" s="25" t="s">
        <v>65</v>
      </c>
    </row>
    <row r="70" spans="1:8" ht="15.75" x14ac:dyDescent="0.25">
      <c r="A70" s="25" t="s">
        <v>138</v>
      </c>
      <c r="B70" s="25">
        <v>44</v>
      </c>
      <c r="C70" s="25" t="s">
        <v>67</v>
      </c>
      <c r="D70" s="26">
        <v>111259</v>
      </c>
      <c r="E70" s="25">
        <v>10</v>
      </c>
      <c r="F70" s="25">
        <v>4</v>
      </c>
      <c r="G70" s="25">
        <v>0</v>
      </c>
      <c r="H70" s="25" t="s">
        <v>65</v>
      </c>
    </row>
    <row r="71" spans="1:8" ht="15.75" x14ac:dyDescent="0.25">
      <c r="A71" s="25" t="s">
        <v>139</v>
      </c>
      <c r="B71" s="25">
        <v>21</v>
      </c>
      <c r="C71" s="25" t="s">
        <v>83</v>
      </c>
      <c r="D71" s="26">
        <v>75487</v>
      </c>
      <c r="E71" s="25">
        <v>19</v>
      </c>
      <c r="F71" s="25">
        <v>2</v>
      </c>
      <c r="G71" s="25">
        <v>1</v>
      </c>
      <c r="H71" s="25" t="s">
        <v>65</v>
      </c>
    </row>
    <row r="72" spans="1:8" ht="15.75" x14ac:dyDescent="0.25">
      <c r="A72" s="25" t="s">
        <v>140</v>
      </c>
      <c r="B72" s="25">
        <v>32</v>
      </c>
      <c r="C72" s="25" t="s">
        <v>83</v>
      </c>
      <c r="D72" s="26">
        <v>98676</v>
      </c>
      <c r="E72" s="25">
        <v>5</v>
      </c>
      <c r="F72" s="25">
        <v>2</v>
      </c>
      <c r="G72" s="25">
        <v>0</v>
      </c>
      <c r="H72" s="25" t="s">
        <v>65</v>
      </c>
    </row>
    <row r="73" spans="1:8" ht="15.75" x14ac:dyDescent="0.25">
      <c r="A73" s="25" t="s">
        <v>141</v>
      </c>
      <c r="B73" s="25">
        <v>28</v>
      </c>
      <c r="C73" s="25" t="s">
        <v>78</v>
      </c>
      <c r="D73" s="26">
        <v>41721</v>
      </c>
      <c r="E73" s="25">
        <v>7</v>
      </c>
      <c r="F73" s="25">
        <v>4</v>
      </c>
      <c r="G73" s="25">
        <v>0</v>
      </c>
      <c r="H73" s="25" t="s">
        <v>65</v>
      </c>
    </row>
    <row r="74" spans="1:8" ht="15.75" x14ac:dyDescent="0.25">
      <c r="A74" s="25" t="s">
        <v>142</v>
      </c>
      <c r="B74" s="25">
        <v>39</v>
      </c>
      <c r="C74" s="25" t="s">
        <v>70</v>
      </c>
      <c r="D74" s="26">
        <v>32587</v>
      </c>
      <c r="E74" s="25">
        <v>18</v>
      </c>
      <c r="F74" s="25">
        <v>3</v>
      </c>
      <c r="G74" s="25">
        <v>0</v>
      </c>
      <c r="H74" s="25" t="s">
        <v>65</v>
      </c>
    </row>
    <row r="75" spans="1:8" ht="15.75" x14ac:dyDescent="0.25">
      <c r="A75" s="25" t="s">
        <v>143</v>
      </c>
      <c r="B75" s="25">
        <v>29</v>
      </c>
      <c r="C75" s="25" t="s">
        <v>70</v>
      </c>
      <c r="D75" s="26">
        <v>69437</v>
      </c>
      <c r="E75" s="25">
        <v>18</v>
      </c>
      <c r="F75" s="25">
        <v>4</v>
      </c>
      <c r="G75" s="25">
        <v>0</v>
      </c>
      <c r="H75" s="25" t="s">
        <v>65</v>
      </c>
    </row>
    <row r="76" spans="1:8" ht="15.75" x14ac:dyDescent="0.25">
      <c r="A76" s="25" t="s">
        <v>144</v>
      </c>
      <c r="B76" s="25">
        <v>48</v>
      </c>
      <c r="C76" s="25" t="s">
        <v>78</v>
      </c>
      <c r="D76" s="26">
        <v>48989</v>
      </c>
      <c r="E76" s="25">
        <v>16</v>
      </c>
      <c r="F76" s="25">
        <v>1</v>
      </c>
      <c r="G76" s="25">
        <v>1</v>
      </c>
      <c r="H76" s="25" t="s">
        <v>65</v>
      </c>
    </row>
    <row r="77" spans="1:8" ht="15.75" x14ac:dyDescent="0.25">
      <c r="A77" s="25" t="s">
        <v>145</v>
      </c>
      <c r="B77" s="25">
        <v>34</v>
      </c>
      <c r="C77" s="25" t="s">
        <v>78</v>
      </c>
      <c r="D77" s="26">
        <v>62726</v>
      </c>
      <c r="E77" s="25">
        <v>17</v>
      </c>
      <c r="F77" s="25">
        <v>2</v>
      </c>
      <c r="G77" s="25">
        <v>1</v>
      </c>
      <c r="H77" s="25" t="s">
        <v>68</v>
      </c>
    </row>
    <row r="78" spans="1:8" ht="15.75" x14ac:dyDescent="0.25">
      <c r="A78" s="25" t="s">
        <v>146</v>
      </c>
      <c r="B78" s="25">
        <v>47</v>
      </c>
      <c r="C78" s="25" t="s">
        <v>78</v>
      </c>
      <c r="D78" s="26">
        <v>100540</v>
      </c>
      <c r="E78" s="25">
        <v>11</v>
      </c>
      <c r="F78" s="25">
        <v>2</v>
      </c>
      <c r="G78" s="25">
        <v>0</v>
      </c>
      <c r="H78" s="25" t="s">
        <v>65</v>
      </c>
    </row>
    <row r="79" spans="1:8" ht="15.75" x14ac:dyDescent="0.25">
      <c r="A79" s="25" t="s">
        <v>147</v>
      </c>
      <c r="B79" s="25">
        <v>38</v>
      </c>
      <c r="C79" s="25" t="s">
        <v>70</v>
      </c>
      <c r="D79" s="26">
        <v>109837</v>
      </c>
      <c r="E79" s="25">
        <v>8</v>
      </c>
      <c r="F79" s="25">
        <v>4</v>
      </c>
      <c r="G79" s="25">
        <v>1</v>
      </c>
      <c r="H79" s="25" t="s">
        <v>65</v>
      </c>
    </row>
    <row r="80" spans="1:8" ht="15.75" x14ac:dyDescent="0.25">
      <c r="A80" s="25" t="s">
        <v>148</v>
      </c>
      <c r="B80" s="25">
        <v>26</v>
      </c>
      <c r="C80" s="25" t="s">
        <v>78</v>
      </c>
      <c r="D80" s="26">
        <v>71168</v>
      </c>
      <c r="E80" s="25">
        <v>15</v>
      </c>
      <c r="F80" s="25">
        <v>3</v>
      </c>
      <c r="G80" s="25">
        <v>0</v>
      </c>
      <c r="H80" s="25" t="s">
        <v>65</v>
      </c>
    </row>
    <row r="81" spans="1:8" ht="15.75" x14ac:dyDescent="0.25">
      <c r="A81" s="25" t="s">
        <v>149</v>
      </c>
      <c r="B81" s="25">
        <v>53</v>
      </c>
      <c r="C81" s="25" t="s">
        <v>67</v>
      </c>
      <c r="D81" s="26">
        <v>94669</v>
      </c>
      <c r="E81" s="25">
        <v>17</v>
      </c>
      <c r="F81" s="25">
        <v>2</v>
      </c>
      <c r="G81" s="25">
        <v>1</v>
      </c>
      <c r="H81" s="25" t="s">
        <v>65</v>
      </c>
    </row>
    <row r="82" spans="1:8" ht="15.75" x14ac:dyDescent="0.25">
      <c r="A82" s="25" t="s">
        <v>150</v>
      </c>
      <c r="B82" s="25">
        <v>57</v>
      </c>
      <c r="C82" s="25" t="s">
        <v>67</v>
      </c>
      <c r="D82" s="26">
        <v>103040</v>
      </c>
      <c r="E82" s="25">
        <v>15</v>
      </c>
      <c r="F82" s="25">
        <v>4</v>
      </c>
      <c r="G82" s="25">
        <v>0</v>
      </c>
      <c r="H82" s="25" t="s">
        <v>65</v>
      </c>
    </row>
    <row r="83" spans="1:8" ht="15.75" x14ac:dyDescent="0.25">
      <c r="A83" s="25" t="s">
        <v>151</v>
      </c>
      <c r="B83" s="25">
        <v>45</v>
      </c>
      <c r="C83" s="25" t="s">
        <v>64</v>
      </c>
      <c r="D83" s="26">
        <v>101616</v>
      </c>
      <c r="E83" s="25">
        <v>15</v>
      </c>
      <c r="F83" s="25">
        <v>3</v>
      </c>
      <c r="G83" s="25">
        <v>0</v>
      </c>
      <c r="H83" s="25" t="s">
        <v>65</v>
      </c>
    </row>
    <row r="84" spans="1:8" ht="15.75" x14ac:dyDescent="0.25">
      <c r="A84" s="25" t="s">
        <v>152</v>
      </c>
      <c r="B84" s="25">
        <v>33</v>
      </c>
      <c r="C84" s="25" t="s">
        <v>67</v>
      </c>
      <c r="D84" s="26">
        <v>37408</v>
      </c>
      <c r="E84" s="25">
        <v>3</v>
      </c>
      <c r="F84" s="25">
        <v>4</v>
      </c>
      <c r="G84" s="25">
        <v>0</v>
      </c>
      <c r="H84" s="25" t="s">
        <v>65</v>
      </c>
    </row>
    <row r="85" spans="1:8" ht="15.75" x14ac:dyDescent="0.25">
      <c r="A85" s="25" t="s">
        <v>153</v>
      </c>
      <c r="B85" s="25">
        <v>43</v>
      </c>
      <c r="C85" s="25" t="s">
        <v>83</v>
      </c>
      <c r="D85" s="26">
        <v>34153</v>
      </c>
      <c r="E85" s="25">
        <v>6</v>
      </c>
      <c r="F85" s="25">
        <v>4</v>
      </c>
      <c r="G85" s="25">
        <v>0</v>
      </c>
      <c r="H85" s="25" t="s">
        <v>65</v>
      </c>
    </row>
    <row r="86" spans="1:8" ht="15.75" x14ac:dyDescent="0.25">
      <c r="A86" s="25" t="s">
        <v>154</v>
      </c>
      <c r="B86" s="25">
        <v>56</v>
      </c>
      <c r="C86" s="25" t="s">
        <v>64</v>
      </c>
      <c r="D86" s="26">
        <v>41055</v>
      </c>
      <c r="E86" s="25">
        <v>0</v>
      </c>
      <c r="F86" s="25">
        <v>4</v>
      </c>
      <c r="G86" s="25">
        <v>1</v>
      </c>
      <c r="H86" s="25" t="s">
        <v>65</v>
      </c>
    </row>
    <row r="87" spans="1:8" ht="15.75" x14ac:dyDescent="0.25">
      <c r="A87" s="25" t="s">
        <v>155</v>
      </c>
      <c r="B87" s="25">
        <v>53</v>
      </c>
      <c r="C87" s="25" t="s">
        <v>67</v>
      </c>
      <c r="D87" s="26">
        <v>49760</v>
      </c>
      <c r="E87" s="25">
        <v>19</v>
      </c>
      <c r="F87" s="25">
        <v>2</v>
      </c>
      <c r="G87" s="25">
        <v>0</v>
      </c>
      <c r="H87" s="25" t="s">
        <v>65</v>
      </c>
    </row>
    <row r="88" spans="1:8" ht="15.75" x14ac:dyDescent="0.25">
      <c r="A88" s="25" t="s">
        <v>156</v>
      </c>
      <c r="B88" s="25">
        <v>41</v>
      </c>
      <c r="C88" s="25" t="s">
        <v>83</v>
      </c>
      <c r="D88" s="26">
        <v>47752</v>
      </c>
      <c r="E88" s="25">
        <v>0</v>
      </c>
      <c r="F88" s="25">
        <v>3</v>
      </c>
      <c r="G88" s="25">
        <v>0</v>
      </c>
      <c r="H88" s="25" t="s">
        <v>68</v>
      </c>
    </row>
    <row r="89" spans="1:8" ht="15.75" x14ac:dyDescent="0.25">
      <c r="A89" s="25" t="s">
        <v>157</v>
      </c>
      <c r="B89" s="25">
        <v>54</v>
      </c>
      <c r="C89" s="25" t="s">
        <v>67</v>
      </c>
      <c r="D89" s="26">
        <v>119729</v>
      </c>
      <c r="E89" s="25">
        <v>7</v>
      </c>
      <c r="F89" s="25">
        <v>1</v>
      </c>
      <c r="G89" s="25">
        <v>0</v>
      </c>
      <c r="H89" s="25" t="s">
        <v>65</v>
      </c>
    </row>
    <row r="90" spans="1:8" ht="15.75" x14ac:dyDescent="0.25">
      <c r="A90" s="25" t="s">
        <v>158</v>
      </c>
      <c r="B90" s="25">
        <v>56</v>
      </c>
      <c r="C90" s="25" t="s">
        <v>83</v>
      </c>
      <c r="D90" s="26">
        <v>33800</v>
      </c>
      <c r="E90" s="25">
        <v>7</v>
      </c>
      <c r="F90" s="25">
        <v>1</v>
      </c>
      <c r="G90" s="25">
        <v>0</v>
      </c>
      <c r="H90" s="25" t="s">
        <v>65</v>
      </c>
    </row>
    <row r="91" spans="1:8" ht="15.75" x14ac:dyDescent="0.25">
      <c r="A91" s="25" t="s">
        <v>159</v>
      </c>
      <c r="B91" s="25">
        <v>37</v>
      </c>
      <c r="C91" s="25" t="s">
        <v>78</v>
      </c>
      <c r="D91" s="26">
        <v>96573</v>
      </c>
      <c r="E91" s="25">
        <v>9</v>
      </c>
      <c r="F91" s="25">
        <v>2</v>
      </c>
      <c r="G91" s="25">
        <v>0</v>
      </c>
      <c r="H91" s="25" t="s">
        <v>68</v>
      </c>
    </row>
    <row r="92" spans="1:8" ht="15.75" x14ac:dyDescent="0.25">
      <c r="A92" s="25" t="s">
        <v>160</v>
      </c>
      <c r="B92" s="25">
        <v>30</v>
      </c>
      <c r="C92" s="25" t="s">
        <v>83</v>
      </c>
      <c r="D92" s="26">
        <v>60054</v>
      </c>
      <c r="E92" s="25">
        <v>0</v>
      </c>
      <c r="F92" s="25">
        <v>2</v>
      </c>
      <c r="G92" s="25">
        <v>0</v>
      </c>
      <c r="H92" s="25" t="s">
        <v>65</v>
      </c>
    </row>
    <row r="93" spans="1:8" ht="15.75" x14ac:dyDescent="0.25">
      <c r="A93" s="25" t="s">
        <v>161</v>
      </c>
      <c r="B93" s="25">
        <v>43</v>
      </c>
      <c r="C93" s="25" t="s">
        <v>78</v>
      </c>
      <c r="D93" s="26">
        <v>91816</v>
      </c>
      <c r="E93" s="25">
        <v>13</v>
      </c>
      <c r="F93" s="25">
        <v>4</v>
      </c>
      <c r="G93" s="25">
        <v>0</v>
      </c>
      <c r="H93" s="25" t="s">
        <v>65</v>
      </c>
    </row>
    <row r="94" spans="1:8" ht="15.75" x14ac:dyDescent="0.25">
      <c r="A94" s="25" t="s">
        <v>162</v>
      </c>
      <c r="B94" s="25">
        <v>22</v>
      </c>
      <c r="C94" s="25" t="s">
        <v>83</v>
      </c>
      <c r="D94" s="26">
        <v>56866</v>
      </c>
      <c r="E94" s="25">
        <v>13</v>
      </c>
      <c r="F94" s="25">
        <v>4</v>
      </c>
      <c r="G94" s="25">
        <v>1</v>
      </c>
      <c r="H94" s="25" t="s">
        <v>65</v>
      </c>
    </row>
    <row r="95" spans="1:8" ht="15.75" x14ac:dyDescent="0.25">
      <c r="A95" s="25" t="s">
        <v>163</v>
      </c>
      <c r="B95" s="25">
        <v>55</v>
      </c>
      <c r="C95" s="25" t="s">
        <v>83</v>
      </c>
      <c r="D95" s="26">
        <v>30992</v>
      </c>
      <c r="E95" s="25">
        <v>9</v>
      </c>
      <c r="F95" s="25">
        <v>3</v>
      </c>
      <c r="G95" s="25">
        <v>0</v>
      </c>
      <c r="H95" s="25" t="s">
        <v>65</v>
      </c>
    </row>
    <row r="96" spans="1:8" ht="15.75" x14ac:dyDescent="0.25">
      <c r="A96" s="25" t="s">
        <v>164</v>
      </c>
      <c r="B96" s="25">
        <v>34</v>
      </c>
      <c r="C96" s="25" t="s">
        <v>67</v>
      </c>
      <c r="D96" s="26">
        <v>53696</v>
      </c>
      <c r="E96" s="25">
        <v>18</v>
      </c>
      <c r="F96" s="25">
        <v>4</v>
      </c>
      <c r="G96" s="25">
        <v>0</v>
      </c>
      <c r="H96" s="25" t="s">
        <v>65</v>
      </c>
    </row>
    <row r="97" spans="1:8" ht="15.75" x14ac:dyDescent="0.25">
      <c r="A97" s="25" t="s">
        <v>165</v>
      </c>
      <c r="B97" s="25">
        <v>22</v>
      </c>
      <c r="C97" s="25" t="s">
        <v>83</v>
      </c>
      <c r="D97" s="26">
        <v>90282</v>
      </c>
      <c r="E97" s="25">
        <v>15</v>
      </c>
      <c r="F97" s="25">
        <v>3</v>
      </c>
      <c r="G97" s="25">
        <v>1</v>
      </c>
      <c r="H97" s="25" t="s">
        <v>65</v>
      </c>
    </row>
    <row r="98" spans="1:8" ht="15.75" x14ac:dyDescent="0.25">
      <c r="A98" s="25" t="s">
        <v>166</v>
      </c>
      <c r="B98" s="25">
        <v>39</v>
      </c>
      <c r="C98" s="25" t="s">
        <v>67</v>
      </c>
      <c r="D98" s="26">
        <v>103541</v>
      </c>
      <c r="E98" s="25">
        <v>8</v>
      </c>
      <c r="F98" s="25">
        <v>4</v>
      </c>
      <c r="G98" s="25">
        <v>1</v>
      </c>
      <c r="H98" s="25" t="s">
        <v>65</v>
      </c>
    </row>
    <row r="99" spans="1:8" ht="15.75" x14ac:dyDescent="0.25">
      <c r="A99" s="25" t="s">
        <v>167</v>
      </c>
      <c r="B99" s="25">
        <v>36</v>
      </c>
      <c r="C99" s="25" t="s">
        <v>83</v>
      </c>
      <c r="D99" s="26">
        <v>82838</v>
      </c>
      <c r="E99" s="25">
        <v>19</v>
      </c>
      <c r="F99" s="25">
        <v>4</v>
      </c>
      <c r="G99" s="25">
        <v>1</v>
      </c>
      <c r="H99" s="25" t="s">
        <v>65</v>
      </c>
    </row>
    <row r="100" spans="1:8" ht="15.75" x14ac:dyDescent="0.25">
      <c r="A100" s="25" t="s">
        <v>168</v>
      </c>
      <c r="B100" s="25">
        <v>45</v>
      </c>
      <c r="C100" s="25" t="s">
        <v>70</v>
      </c>
      <c r="D100" s="26">
        <v>59400</v>
      </c>
      <c r="E100" s="25">
        <v>15</v>
      </c>
      <c r="F100" s="25">
        <v>1</v>
      </c>
      <c r="G100" s="25">
        <v>0</v>
      </c>
      <c r="H100" s="25" t="s">
        <v>65</v>
      </c>
    </row>
    <row r="101" spans="1:8" ht="15.75" x14ac:dyDescent="0.25">
      <c r="A101" s="25" t="s">
        <v>169</v>
      </c>
      <c r="B101" s="25">
        <v>21</v>
      </c>
      <c r="C101" s="25" t="s">
        <v>64</v>
      </c>
      <c r="D101" s="26">
        <v>112277</v>
      </c>
      <c r="E101" s="25">
        <v>19</v>
      </c>
      <c r="F101" s="25">
        <v>2</v>
      </c>
      <c r="G101" s="25">
        <v>0</v>
      </c>
      <c r="H101" s="25" t="s">
        <v>65</v>
      </c>
    </row>
    <row r="102" spans="1:8" ht="15.75" x14ac:dyDescent="0.25">
      <c r="A102" s="25" t="s">
        <v>170</v>
      </c>
      <c r="B102" s="25">
        <v>22</v>
      </c>
      <c r="C102" s="25" t="s">
        <v>67</v>
      </c>
      <c r="D102" s="26">
        <v>47565</v>
      </c>
      <c r="E102" s="25">
        <v>7</v>
      </c>
      <c r="F102" s="25">
        <v>3</v>
      </c>
      <c r="G102" s="25">
        <v>1</v>
      </c>
      <c r="H102" s="25" t="s">
        <v>65</v>
      </c>
    </row>
    <row r="103" spans="1:8" ht="15.75" x14ac:dyDescent="0.25">
      <c r="A103" s="25" t="s">
        <v>171</v>
      </c>
      <c r="B103" s="25">
        <v>47</v>
      </c>
      <c r="C103" s="25" t="s">
        <v>67</v>
      </c>
      <c r="D103" s="26">
        <v>69585</v>
      </c>
      <c r="E103" s="25">
        <v>6</v>
      </c>
      <c r="F103" s="25">
        <v>1</v>
      </c>
      <c r="G103" s="25">
        <v>0</v>
      </c>
      <c r="H103" s="25" t="s">
        <v>65</v>
      </c>
    </row>
    <row r="104" spans="1:8" ht="15.75" x14ac:dyDescent="0.25">
      <c r="A104" s="25" t="s">
        <v>172</v>
      </c>
      <c r="B104" s="25">
        <v>22</v>
      </c>
      <c r="C104" s="25" t="s">
        <v>78</v>
      </c>
      <c r="D104" s="26">
        <v>64833</v>
      </c>
      <c r="E104" s="25">
        <v>10</v>
      </c>
      <c r="F104" s="25">
        <v>4</v>
      </c>
      <c r="G104" s="25">
        <v>0</v>
      </c>
      <c r="H104" s="25" t="s">
        <v>68</v>
      </c>
    </row>
    <row r="105" spans="1:8" ht="15.75" x14ac:dyDescent="0.25">
      <c r="A105" s="25" t="s">
        <v>173</v>
      </c>
      <c r="B105" s="25">
        <v>50</v>
      </c>
      <c r="C105" s="25" t="s">
        <v>70</v>
      </c>
      <c r="D105" s="26">
        <v>42094</v>
      </c>
      <c r="E105" s="25">
        <v>5</v>
      </c>
      <c r="F105" s="25">
        <v>1</v>
      </c>
      <c r="G105" s="25">
        <v>0</v>
      </c>
      <c r="H105" s="25" t="s">
        <v>68</v>
      </c>
    </row>
    <row r="106" spans="1:8" ht="15.75" x14ac:dyDescent="0.25">
      <c r="A106" s="25" t="s">
        <v>174</v>
      </c>
      <c r="B106" s="25">
        <v>30</v>
      </c>
      <c r="C106" s="25" t="s">
        <v>78</v>
      </c>
      <c r="D106" s="26">
        <v>61280</v>
      </c>
      <c r="E106" s="25">
        <v>14</v>
      </c>
      <c r="F106" s="25">
        <v>3</v>
      </c>
      <c r="G106" s="25">
        <v>0</v>
      </c>
      <c r="H106" s="25" t="s">
        <v>65</v>
      </c>
    </row>
    <row r="107" spans="1:8" ht="15.75" x14ac:dyDescent="0.25">
      <c r="A107" s="25" t="s">
        <v>175</v>
      </c>
      <c r="B107" s="25">
        <v>39</v>
      </c>
      <c r="C107" s="25" t="s">
        <v>70</v>
      </c>
      <c r="D107" s="26">
        <v>76647</v>
      </c>
      <c r="E107" s="25">
        <v>18</v>
      </c>
      <c r="F107" s="25">
        <v>2</v>
      </c>
      <c r="G107" s="25">
        <v>1</v>
      </c>
      <c r="H107" s="25" t="s">
        <v>65</v>
      </c>
    </row>
    <row r="108" spans="1:8" ht="15.75" x14ac:dyDescent="0.25">
      <c r="A108" s="25" t="s">
        <v>176</v>
      </c>
      <c r="B108" s="25">
        <v>36</v>
      </c>
      <c r="C108" s="25" t="s">
        <v>70</v>
      </c>
      <c r="D108" s="26">
        <v>74378</v>
      </c>
      <c r="E108" s="25">
        <v>13</v>
      </c>
      <c r="F108" s="25">
        <v>1</v>
      </c>
      <c r="G108" s="25">
        <v>0</v>
      </c>
      <c r="H108" s="25" t="s">
        <v>65</v>
      </c>
    </row>
    <row r="109" spans="1:8" ht="15.75" x14ac:dyDescent="0.25">
      <c r="A109" s="25" t="s">
        <v>177</v>
      </c>
      <c r="B109" s="25">
        <v>33</v>
      </c>
      <c r="C109" s="25" t="s">
        <v>83</v>
      </c>
      <c r="D109" s="26">
        <v>49513</v>
      </c>
      <c r="E109" s="25">
        <v>14</v>
      </c>
      <c r="F109" s="25">
        <v>3</v>
      </c>
      <c r="G109" s="25">
        <v>1</v>
      </c>
      <c r="H109" s="25" t="s">
        <v>65</v>
      </c>
    </row>
    <row r="110" spans="1:8" ht="15.75" x14ac:dyDescent="0.25">
      <c r="A110" s="25" t="s">
        <v>178</v>
      </c>
      <c r="B110" s="25">
        <v>28</v>
      </c>
      <c r="C110" s="25" t="s">
        <v>78</v>
      </c>
      <c r="D110" s="26">
        <v>30154</v>
      </c>
      <c r="E110" s="25">
        <v>5</v>
      </c>
      <c r="F110" s="25">
        <v>4</v>
      </c>
      <c r="G110" s="25">
        <v>0</v>
      </c>
      <c r="H110" s="25" t="s">
        <v>65</v>
      </c>
    </row>
    <row r="111" spans="1:8" ht="15.75" x14ac:dyDescent="0.25">
      <c r="A111" s="25" t="s">
        <v>179</v>
      </c>
      <c r="B111" s="25">
        <v>51</v>
      </c>
      <c r="C111" s="25" t="s">
        <v>64</v>
      </c>
      <c r="D111" s="26">
        <v>58134</v>
      </c>
      <c r="E111" s="25">
        <v>9</v>
      </c>
      <c r="F111" s="25">
        <v>1</v>
      </c>
      <c r="G111" s="25">
        <v>1</v>
      </c>
      <c r="H111" s="25" t="s">
        <v>68</v>
      </c>
    </row>
    <row r="112" spans="1:8" ht="15.75" x14ac:dyDescent="0.25">
      <c r="A112" s="25" t="s">
        <v>180</v>
      </c>
      <c r="B112" s="25">
        <v>45</v>
      </c>
      <c r="C112" s="25" t="s">
        <v>70</v>
      </c>
      <c r="D112" s="26">
        <v>38678</v>
      </c>
      <c r="E112" s="25">
        <v>13</v>
      </c>
      <c r="F112" s="25">
        <v>2</v>
      </c>
      <c r="G112" s="25">
        <v>0</v>
      </c>
      <c r="H112" s="25" t="s">
        <v>65</v>
      </c>
    </row>
    <row r="113" spans="1:8" ht="15.75" x14ac:dyDescent="0.25">
      <c r="A113" s="25" t="s">
        <v>181</v>
      </c>
      <c r="B113" s="25">
        <v>59</v>
      </c>
      <c r="C113" s="25" t="s">
        <v>70</v>
      </c>
      <c r="D113" s="26">
        <v>36294</v>
      </c>
      <c r="E113" s="25">
        <v>15</v>
      </c>
      <c r="F113" s="25">
        <v>3</v>
      </c>
      <c r="G113" s="25">
        <v>0</v>
      </c>
      <c r="H113" s="25" t="s">
        <v>68</v>
      </c>
    </row>
    <row r="114" spans="1:8" ht="15.75" x14ac:dyDescent="0.25">
      <c r="A114" s="25" t="s">
        <v>182</v>
      </c>
      <c r="B114" s="25">
        <v>41</v>
      </c>
      <c r="C114" s="25" t="s">
        <v>67</v>
      </c>
      <c r="D114" s="26">
        <v>39574</v>
      </c>
      <c r="E114" s="25">
        <v>12</v>
      </c>
      <c r="F114" s="25">
        <v>2</v>
      </c>
      <c r="G114" s="25">
        <v>0</v>
      </c>
      <c r="H114" s="25" t="s">
        <v>68</v>
      </c>
    </row>
    <row r="115" spans="1:8" ht="15.75" x14ac:dyDescent="0.25">
      <c r="A115" s="25" t="s">
        <v>183</v>
      </c>
      <c r="B115" s="25">
        <v>58</v>
      </c>
      <c r="C115" s="25" t="s">
        <v>83</v>
      </c>
      <c r="D115" s="26">
        <v>65183</v>
      </c>
      <c r="E115" s="25">
        <v>10</v>
      </c>
      <c r="F115" s="25">
        <v>4</v>
      </c>
      <c r="G115" s="25">
        <v>1</v>
      </c>
      <c r="H115" s="25" t="s">
        <v>65</v>
      </c>
    </row>
    <row r="116" spans="1:8" ht="15.75" x14ac:dyDescent="0.25">
      <c r="A116" s="25" t="s">
        <v>184</v>
      </c>
      <c r="B116" s="25">
        <v>49</v>
      </c>
      <c r="C116" s="25" t="s">
        <v>64</v>
      </c>
      <c r="D116" s="26">
        <v>78747</v>
      </c>
      <c r="E116" s="25">
        <v>2</v>
      </c>
      <c r="F116" s="25">
        <v>2</v>
      </c>
      <c r="G116" s="25">
        <v>1</v>
      </c>
      <c r="H116" s="25" t="s">
        <v>65</v>
      </c>
    </row>
    <row r="117" spans="1:8" ht="15.75" x14ac:dyDescent="0.25">
      <c r="A117" s="25" t="s">
        <v>185</v>
      </c>
      <c r="B117" s="25">
        <v>26</v>
      </c>
      <c r="C117" s="25" t="s">
        <v>70</v>
      </c>
      <c r="D117" s="26">
        <v>96606</v>
      </c>
      <c r="E117" s="25">
        <v>7</v>
      </c>
      <c r="F117" s="25">
        <v>4</v>
      </c>
      <c r="G117" s="25">
        <v>0</v>
      </c>
      <c r="H117" s="25" t="s">
        <v>68</v>
      </c>
    </row>
    <row r="118" spans="1:8" ht="15.75" x14ac:dyDescent="0.25">
      <c r="A118" s="25" t="s">
        <v>186</v>
      </c>
      <c r="B118" s="25">
        <v>38</v>
      </c>
      <c r="C118" s="25" t="s">
        <v>67</v>
      </c>
      <c r="D118" s="26">
        <v>48638</v>
      </c>
      <c r="E118" s="25">
        <v>2</v>
      </c>
      <c r="F118" s="25">
        <v>4</v>
      </c>
      <c r="G118" s="25">
        <v>0</v>
      </c>
      <c r="H118" s="25" t="s">
        <v>65</v>
      </c>
    </row>
    <row r="119" spans="1:8" ht="15.75" x14ac:dyDescent="0.25">
      <c r="A119" s="25" t="s">
        <v>187</v>
      </c>
      <c r="B119" s="25">
        <v>55</v>
      </c>
      <c r="C119" s="25" t="s">
        <v>78</v>
      </c>
      <c r="D119" s="26">
        <v>87194</v>
      </c>
      <c r="E119" s="25">
        <v>1</v>
      </c>
      <c r="F119" s="25">
        <v>1</v>
      </c>
      <c r="G119" s="25">
        <v>1</v>
      </c>
      <c r="H119" s="25" t="s">
        <v>68</v>
      </c>
    </row>
    <row r="120" spans="1:8" ht="15.75" x14ac:dyDescent="0.25">
      <c r="A120" s="25" t="s">
        <v>188</v>
      </c>
      <c r="B120" s="25">
        <v>47</v>
      </c>
      <c r="C120" s="25" t="s">
        <v>70</v>
      </c>
      <c r="D120" s="26">
        <v>77553</v>
      </c>
      <c r="E120" s="25">
        <v>13</v>
      </c>
      <c r="F120" s="25">
        <v>4</v>
      </c>
      <c r="G120" s="25">
        <v>1</v>
      </c>
      <c r="H120" s="25" t="s">
        <v>65</v>
      </c>
    </row>
    <row r="121" spans="1:8" ht="15.75" x14ac:dyDescent="0.25">
      <c r="A121" s="25" t="s">
        <v>189</v>
      </c>
      <c r="B121" s="25">
        <v>25</v>
      </c>
      <c r="C121" s="25" t="s">
        <v>67</v>
      </c>
      <c r="D121" s="26">
        <v>56082</v>
      </c>
      <c r="E121" s="25">
        <v>19</v>
      </c>
      <c r="F121" s="25">
        <v>2</v>
      </c>
      <c r="G121" s="25">
        <v>0</v>
      </c>
      <c r="H121" s="25" t="s">
        <v>65</v>
      </c>
    </row>
    <row r="122" spans="1:8" ht="15.75" x14ac:dyDescent="0.25">
      <c r="A122" s="25" t="s">
        <v>190</v>
      </c>
      <c r="B122" s="25">
        <v>27</v>
      </c>
      <c r="C122" s="25" t="s">
        <v>78</v>
      </c>
      <c r="D122" s="26">
        <v>46306</v>
      </c>
      <c r="E122" s="25">
        <v>14</v>
      </c>
      <c r="F122" s="25">
        <v>1</v>
      </c>
      <c r="G122" s="25">
        <v>1</v>
      </c>
      <c r="H122" s="25" t="s">
        <v>65</v>
      </c>
    </row>
    <row r="123" spans="1:8" ht="15.75" x14ac:dyDescent="0.25">
      <c r="A123" s="25" t="s">
        <v>191</v>
      </c>
      <c r="B123" s="25">
        <v>30</v>
      </c>
      <c r="C123" s="25" t="s">
        <v>83</v>
      </c>
      <c r="D123" s="26">
        <v>37807</v>
      </c>
      <c r="E123" s="25">
        <v>2</v>
      </c>
      <c r="F123" s="25">
        <v>4</v>
      </c>
      <c r="G123" s="25">
        <v>0</v>
      </c>
      <c r="H123" s="25" t="s">
        <v>65</v>
      </c>
    </row>
    <row r="124" spans="1:8" ht="15.75" x14ac:dyDescent="0.25">
      <c r="A124" s="25" t="s">
        <v>192</v>
      </c>
      <c r="B124" s="25">
        <v>30</v>
      </c>
      <c r="C124" s="25" t="s">
        <v>78</v>
      </c>
      <c r="D124" s="26">
        <v>118760</v>
      </c>
      <c r="E124" s="25">
        <v>0</v>
      </c>
      <c r="F124" s="25">
        <v>3</v>
      </c>
      <c r="G124" s="25">
        <v>0</v>
      </c>
      <c r="H124" s="25" t="s">
        <v>65</v>
      </c>
    </row>
    <row r="125" spans="1:8" ht="15.75" x14ac:dyDescent="0.25">
      <c r="A125" s="25" t="s">
        <v>193</v>
      </c>
      <c r="B125" s="25">
        <v>48</v>
      </c>
      <c r="C125" s="25" t="s">
        <v>70</v>
      </c>
      <c r="D125" s="26">
        <v>81342</v>
      </c>
      <c r="E125" s="25">
        <v>14</v>
      </c>
      <c r="F125" s="25">
        <v>3</v>
      </c>
      <c r="G125" s="25">
        <v>0</v>
      </c>
      <c r="H125" s="25" t="s">
        <v>68</v>
      </c>
    </row>
    <row r="126" spans="1:8" ht="15.75" x14ac:dyDescent="0.25">
      <c r="A126" s="25" t="s">
        <v>194</v>
      </c>
      <c r="B126" s="25">
        <v>56</v>
      </c>
      <c r="C126" s="25" t="s">
        <v>64</v>
      </c>
      <c r="D126" s="26">
        <v>62143</v>
      </c>
      <c r="E126" s="25">
        <v>19</v>
      </c>
      <c r="F126" s="25">
        <v>4</v>
      </c>
      <c r="G126" s="25">
        <v>1</v>
      </c>
      <c r="H126" s="25" t="s">
        <v>65</v>
      </c>
    </row>
    <row r="127" spans="1:8" ht="15.75" x14ac:dyDescent="0.25">
      <c r="A127" s="25" t="s">
        <v>195</v>
      </c>
      <c r="B127" s="25">
        <v>30</v>
      </c>
      <c r="C127" s="25" t="s">
        <v>78</v>
      </c>
      <c r="D127" s="26">
        <v>88414</v>
      </c>
      <c r="E127" s="25">
        <v>1</v>
      </c>
      <c r="F127" s="25">
        <v>1</v>
      </c>
      <c r="G127" s="25">
        <v>0</v>
      </c>
      <c r="H127" s="25" t="s">
        <v>65</v>
      </c>
    </row>
    <row r="128" spans="1:8" ht="15.75" x14ac:dyDescent="0.25">
      <c r="A128" s="25" t="s">
        <v>196</v>
      </c>
      <c r="B128" s="25">
        <v>55</v>
      </c>
      <c r="C128" s="25" t="s">
        <v>64</v>
      </c>
      <c r="D128" s="26">
        <v>54715</v>
      </c>
      <c r="E128" s="25">
        <v>17</v>
      </c>
      <c r="F128" s="25">
        <v>1</v>
      </c>
      <c r="G128" s="25">
        <v>0</v>
      </c>
      <c r="H128" s="25" t="s">
        <v>65</v>
      </c>
    </row>
    <row r="129" spans="1:8" ht="15.75" x14ac:dyDescent="0.25">
      <c r="A129" s="25" t="s">
        <v>197</v>
      </c>
      <c r="B129" s="25">
        <v>55</v>
      </c>
      <c r="C129" s="25" t="s">
        <v>64</v>
      </c>
      <c r="D129" s="26">
        <v>92054</v>
      </c>
      <c r="E129" s="25">
        <v>0</v>
      </c>
      <c r="F129" s="25">
        <v>1</v>
      </c>
      <c r="G129" s="25">
        <v>1</v>
      </c>
      <c r="H129" s="25" t="s">
        <v>65</v>
      </c>
    </row>
    <row r="130" spans="1:8" ht="15.75" x14ac:dyDescent="0.25">
      <c r="A130" s="25" t="s">
        <v>198</v>
      </c>
      <c r="B130" s="25">
        <v>57</v>
      </c>
      <c r="C130" s="25" t="s">
        <v>78</v>
      </c>
      <c r="D130" s="26">
        <v>102934</v>
      </c>
      <c r="E130" s="25">
        <v>8</v>
      </c>
      <c r="F130" s="25">
        <v>2</v>
      </c>
      <c r="G130" s="25">
        <v>0</v>
      </c>
      <c r="H130" s="25" t="s">
        <v>65</v>
      </c>
    </row>
    <row r="131" spans="1:8" ht="15.75" x14ac:dyDescent="0.25">
      <c r="A131" s="25" t="s">
        <v>199</v>
      </c>
      <c r="B131" s="25">
        <v>40</v>
      </c>
      <c r="C131" s="25" t="s">
        <v>83</v>
      </c>
      <c r="D131" s="26">
        <v>42202</v>
      </c>
      <c r="E131" s="25">
        <v>2</v>
      </c>
      <c r="F131" s="25">
        <v>3</v>
      </c>
      <c r="G131" s="25">
        <v>1</v>
      </c>
      <c r="H131" s="25" t="s">
        <v>65</v>
      </c>
    </row>
    <row r="132" spans="1:8" ht="15.75" x14ac:dyDescent="0.25">
      <c r="A132" s="25" t="s">
        <v>200</v>
      </c>
      <c r="B132" s="25">
        <v>33</v>
      </c>
      <c r="C132" s="25" t="s">
        <v>78</v>
      </c>
      <c r="D132" s="26">
        <v>57987</v>
      </c>
      <c r="E132" s="25">
        <v>1</v>
      </c>
      <c r="F132" s="25">
        <v>4</v>
      </c>
      <c r="G132" s="25">
        <v>1</v>
      </c>
      <c r="H132" s="25" t="s">
        <v>65</v>
      </c>
    </row>
    <row r="133" spans="1:8" ht="15.75" x14ac:dyDescent="0.25">
      <c r="A133" s="25" t="s">
        <v>201</v>
      </c>
      <c r="B133" s="25">
        <v>31</v>
      </c>
      <c r="C133" s="25" t="s">
        <v>67</v>
      </c>
      <c r="D133" s="26">
        <v>65740</v>
      </c>
      <c r="E133" s="25">
        <v>3</v>
      </c>
      <c r="F133" s="25">
        <v>4</v>
      </c>
      <c r="G133" s="25">
        <v>1</v>
      </c>
      <c r="H133" s="25" t="s">
        <v>68</v>
      </c>
    </row>
    <row r="134" spans="1:8" ht="15.75" x14ac:dyDescent="0.25">
      <c r="A134" s="25" t="s">
        <v>202</v>
      </c>
      <c r="B134" s="25">
        <v>39</v>
      </c>
      <c r="C134" s="25" t="s">
        <v>64</v>
      </c>
      <c r="D134" s="26">
        <v>106848</v>
      </c>
      <c r="E134" s="25">
        <v>15</v>
      </c>
      <c r="F134" s="25">
        <v>3</v>
      </c>
      <c r="G134" s="25">
        <v>0</v>
      </c>
      <c r="H134" s="25" t="s">
        <v>65</v>
      </c>
    </row>
    <row r="135" spans="1:8" ht="15.75" x14ac:dyDescent="0.25">
      <c r="A135" s="25" t="s">
        <v>203</v>
      </c>
      <c r="B135" s="25">
        <v>48</v>
      </c>
      <c r="C135" s="25" t="s">
        <v>70</v>
      </c>
      <c r="D135" s="26">
        <v>115890</v>
      </c>
      <c r="E135" s="25">
        <v>0</v>
      </c>
      <c r="F135" s="25">
        <v>2</v>
      </c>
      <c r="G135" s="25">
        <v>0</v>
      </c>
      <c r="H135" s="25" t="s">
        <v>65</v>
      </c>
    </row>
    <row r="136" spans="1:8" ht="15.75" x14ac:dyDescent="0.25">
      <c r="A136" s="25" t="s">
        <v>204</v>
      </c>
      <c r="B136" s="25">
        <v>58</v>
      </c>
      <c r="C136" s="25" t="s">
        <v>64</v>
      </c>
      <c r="D136" s="26">
        <v>83871</v>
      </c>
      <c r="E136" s="25">
        <v>8</v>
      </c>
      <c r="F136" s="25">
        <v>1</v>
      </c>
      <c r="G136" s="25">
        <v>1</v>
      </c>
      <c r="H136" s="25" t="s">
        <v>68</v>
      </c>
    </row>
    <row r="137" spans="1:8" ht="15.75" x14ac:dyDescent="0.25">
      <c r="A137" s="25" t="s">
        <v>205</v>
      </c>
      <c r="B137" s="25">
        <v>24</v>
      </c>
      <c r="C137" s="25" t="s">
        <v>70</v>
      </c>
      <c r="D137" s="26">
        <v>43627</v>
      </c>
      <c r="E137" s="25">
        <v>7</v>
      </c>
      <c r="F137" s="25">
        <v>3</v>
      </c>
      <c r="G137" s="25">
        <v>0</v>
      </c>
      <c r="H137" s="25" t="s">
        <v>65</v>
      </c>
    </row>
    <row r="138" spans="1:8" ht="15.75" x14ac:dyDescent="0.25">
      <c r="A138" s="25" t="s">
        <v>206</v>
      </c>
      <c r="B138" s="25">
        <v>57</v>
      </c>
      <c r="C138" s="25" t="s">
        <v>67</v>
      </c>
      <c r="D138" s="26">
        <v>81069</v>
      </c>
      <c r="E138" s="25">
        <v>5</v>
      </c>
      <c r="F138" s="25">
        <v>4</v>
      </c>
      <c r="G138" s="25">
        <v>0</v>
      </c>
      <c r="H138" s="25" t="s">
        <v>65</v>
      </c>
    </row>
    <row r="139" spans="1:8" ht="15.75" x14ac:dyDescent="0.25">
      <c r="A139" s="25" t="s">
        <v>207</v>
      </c>
      <c r="B139" s="25">
        <v>39</v>
      </c>
      <c r="C139" s="25" t="s">
        <v>67</v>
      </c>
      <c r="D139" s="26">
        <v>70409</v>
      </c>
      <c r="E139" s="25">
        <v>19</v>
      </c>
      <c r="F139" s="25">
        <v>2</v>
      </c>
      <c r="G139" s="25">
        <v>1</v>
      </c>
      <c r="H139" s="25" t="s">
        <v>65</v>
      </c>
    </row>
    <row r="140" spans="1:8" ht="15.75" x14ac:dyDescent="0.25">
      <c r="A140" s="25" t="s">
        <v>208</v>
      </c>
      <c r="B140" s="25">
        <v>57</v>
      </c>
      <c r="C140" s="25" t="s">
        <v>67</v>
      </c>
      <c r="D140" s="26">
        <v>110635</v>
      </c>
      <c r="E140" s="25">
        <v>17</v>
      </c>
      <c r="F140" s="25">
        <v>4</v>
      </c>
      <c r="G140" s="25">
        <v>0</v>
      </c>
      <c r="H140" s="25" t="s">
        <v>65</v>
      </c>
    </row>
    <row r="141" spans="1:8" ht="15.75" x14ac:dyDescent="0.25">
      <c r="A141" s="25" t="s">
        <v>209</v>
      </c>
      <c r="B141" s="25">
        <v>34</v>
      </c>
      <c r="C141" s="25" t="s">
        <v>78</v>
      </c>
      <c r="D141" s="26">
        <v>91486</v>
      </c>
      <c r="E141" s="25">
        <v>15</v>
      </c>
      <c r="F141" s="25">
        <v>1</v>
      </c>
      <c r="G141" s="25">
        <v>1</v>
      </c>
      <c r="H141" s="25" t="s">
        <v>68</v>
      </c>
    </row>
    <row r="142" spans="1:8" ht="15.75" x14ac:dyDescent="0.25">
      <c r="A142" s="25" t="s">
        <v>210</v>
      </c>
      <c r="B142" s="25">
        <v>51</v>
      </c>
      <c r="C142" s="25" t="s">
        <v>64</v>
      </c>
      <c r="D142" s="26">
        <v>31611</v>
      </c>
      <c r="E142" s="25">
        <v>7</v>
      </c>
      <c r="F142" s="25">
        <v>3</v>
      </c>
      <c r="G142" s="25">
        <v>0</v>
      </c>
      <c r="H142" s="25" t="s">
        <v>65</v>
      </c>
    </row>
    <row r="143" spans="1:8" ht="15.75" x14ac:dyDescent="0.25">
      <c r="A143" s="25" t="s">
        <v>211</v>
      </c>
      <c r="B143" s="25">
        <v>48</v>
      </c>
      <c r="C143" s="25" t="s">
        <v>70</v>
      </c>
      <c r="D143" s="26">
        <v>61657</v>
      </c>
      <c r="E143" s="25">
        <v>3</v>
      </c>
      <c r="F143" s="25">
        <v>1</v>
      </c>
      <c r="G143" s="25">
        <v>0</v>
      </c>
      <c r="H143" s="25" t="s">
        <v>65</v>
      </c>
    </row>
    <row r="144" spans="1:8" ht="15.75" x14ac:dyDescent="0.25">
      <c r="A144" s="25" t="s">
        <v>212</v>
      </c>
      <c r="B144" s="25">
        <v>56</v>
      </c>
      <c r="C144" s="25" t="s">
        <v>67</v>
      </c>
      <c r="D144" s="26">
        <v>48462</v>
      </c>
      <c r="E144" s="25">
        <v>2</v>
      </c>
      <c r="F144" s="25">
        <v>2</v>
      </c>
      <c r="G144" s="25">
        <v>0</v>
      </c>
      <c r="H144" s="25" t="s">
        <v>65</v>
      </c>
    </row>
    <row r="145" spans="1:8" ht="15.75" x14ac:dyDescent="0.25">
      <c r="A145" s="25" t="s">
        <v>213</v>
      </c>
      <c r="B145" s="25">
        <v>58</v>
      </c>
      <c r="C145" s="25" t="s">
        <v>67</v>
      </c>
      <c r="D145" s="26">
        <v>106309</v>
      </c>
      <c r="E145" s="25">
        <v>14</v>
      </c>
      <c r="F145" s="25">
        <v>3</v>
      </c>
      <c r="G145" s="25">
        <v>0</v>
      </c>
      <c r="H145" s="25" t="s">
        <v>65</v>
      </c>
    </row>
    <row r="146" spans="1:8" ht="15.75" x14ac:dyDescent="0.25">
      <c r="A146" s="25" t="s">
        <v>214</v>
      </c>
      <c r="B146" s="25">
        <v>39</v>
      </c>
      <c r="C146" s="25" t="s">
        <v>70</v>
      </c>
      <c r="D146" s="26">
        <v>119299</v>
      </c>
      <c r="E146" s="25">
        <v>5</v>
      </c>
      <c r="F146" s="25">
        <v>1</v>
      </c>
      <c r="G146" s="25">
        <v>0</v>
      </c>
      <c r="H146" s="25" t="s">
        <v>65</v>
      </c>
    </row>
    <row r="147" spans="1:8" ht="15.75" x14ac:dyDescent="0.25">
      <c r="A147" s="25" t="s">
        <v>215</v>
      </c>
      <c r="B147" s="25">
        <v>21</v>
      </c>
      <c r="C147" s="25" t="s">
        <v>64</v>
      </c>
      <c r="D147" s="26">
        <v>68547</v>
      </c>
      <c r="E147" s="25">
        <v>0</v>
      </c>
      <c r="F147" s="25">
        <v>1</v>
      </c>
      <c r="G147" s="25">
        <v>1</v>
      </c>
      <c r="H147" s="25" t="s">
        <v>65</v>
      </c>
    </row>
    <row r="148" spans="1:8" ht="15.75" x14ac:dyDescent="0.25">
      <c r="A148" s="25" t="s">
        <v>216</v>
      </c>
      <c r="B148" s="25">
        <v>43</v>
      </c>
      <c r="C148" s="25" t="s">
        <v>64</v>
      </c>
      <c r="D148" s="26">
        <v>59063</v>
      </c>
      <c r="E148" s="25">
        <v>17</v>
      </c>
      <c r="F148" s="25">
        <v>1</v>
      </c>
      <c r="G148" s="25">
        <v>0</v>
      </c>
      <c r="H148" s="25" t="s">
        <v>65</v>
      </c>
    </row>
    <row r="149" spans="1:8" ht="15.75" x14ac:dyDescent="0.25">
      <c r="A149" s="25" t="s">
        <v>217</v>
      </c>
      <c r="B149" s="25">
        <v>48</v>
      </c>
      <c r="C149" s="25" t="s">
        <v>70</v>
      </c>
      <c r="D149" s="26">
        <v>112273</v>
      </c>
      <c r="E149" s="25">
        <v>10</v>
      </c>
      <c r="F149" s="25">
        <v>2</v>
      </c>
      <c r="G149" s="25">
        <v>0</v>
      </c>
      <c r="H149" s="25" t="s">
        <v>65</v>
      </c>
    </row>
    <row r="150" spans="1:8" ht="15.75" x14ac:dyDescent="0.25">
      <c r="A150" s="25" t="s">
        <v>218</v>
      </c>
      <c r="B150" s="25">
        <v>24</v>
      </c>
      <c r="C150" s="25" t="s">
        <v>83</v>
      </c>
      <c r="D150" s="26">
        <v>109397</v>
      </c>
      <c r="E150" s="25">
        <v>2</v>
      </c>
      <c r="F150" s="25">
        <v>1</v>
      </c>
      <c r="G150" s="25">
        <v>1</v>
      </c>
      <c r="H150" s="25" t="s">
        <v>65</v>
      </c>
    </row>
    <row r="151" spans="1:8" ht="15.75" x14ac:dyDescent="0.25">
      <c r="A151" s="25" t="s">
        <v>219</v>
      </c>
      <c r="B151" s="25">
        <v>38</v>
      </c>
      <c r="C151" s="25" t="s">
        <v>64</v>
      </c>
      <c r="D151" s="26">
        <v>82788</v>
      </c>
      <c r="E151" s="25">
        <v>12</v>
      </c>
      <c r="F151" s="25">
        <v>4</v>
      </c>
      <c r="G151" s="25">
        <v>0</v>
      </c>
      <c r="H151" s="25" t="s">
        <v>65</v>
      </c>
    </row>
    <row r="152" spans="1:8" ht="15.75" x14ac:dyDescent="0.25">
      <c r="A152" s="25" t="s">
        <v>220</v>
      </c>
      <c r="B152" s="25">
        <v>59</v>
      </c>
      <c r="C152" s="25" t="s">
        <v>70</v>
      </c>
      <c r="D152" s="26">
        <v>72523</v>
      </c>
      <c r="E152" s="25">
        <v>16</v>
      </c>
      <c r="F152" s="25">
        <v>3</v>
      </c>
      <c r="G152" s="25">
        <v>0</v>
      </c>
      <c r="H152" s="25" t="s">
        <v>65</v>
      </c>
    </row>
    <row r="153" spans="1:8" ht="15.75" x14ac:dyDescent="0.25">
      <c r="A153" s="25" t="s">
        <v>221</v>
      </c>
      <c r="B153" s="25">
        <v>45</v>
      </c>
      <c r="C153" s="25" t="s">
        <v>70</v>
      </c>
      <c r="D153" s="26">
        <v>60284</v>
      </c>
      <c r="E153" s="25">
        <v>17</v>
      </c>
      <c r="F153" s="25">
        <v>3</v>
      </c>
      <c r="G153" s="25">
        <v>1</v>
      </c>
      <c r="H153" s="25" t="s">
        <v>65</v>
      </c>
    </row>
    <row r="154" spans="1:8" ht="15.75" x14ac:dyDescent="0.25">
      <c r="A154" s="25" t="s">
        <v>222</v>
      </c>
      <c r="B154" s="25">
        <v>38</v>
      </c>
      <c r="C154" s="25" t="s">
        <v>67</v>
      </c>
      <c r="D154" s="26">
        <v>117964</v>
      </c>
      <c r="E154" s="25">
        <v>13</v>
      </c>
      <c r="F154" s="25">
        <v>1</v>
      </c>
      <c r="G154" s="25">
        <v>0</v>
      </c>
      <c r="H154" s="25" t="s">
        <v>68</v>
      </c>
    </row>
    <row r="155" spans="1:8" ht="15.75" x14ac:dyDescent="0.25">
      <c r="A155" s="25" t="s">
        <v>223</v>
      </c>
      <c r="B155" s="25">
        <v>26</v>
      </c>
      <c r="C155" s="25" t="s">
        <v>70</v>
      </c>
      <c r="D155" s="26">
        <v>93996</v>
      </c>
      <c r="E155" s="25">
        <v>6</v>
      </c>
      <c r="F155" s="25">
        <v>2</v>
      </c>
      <c r="G155" s="25">
        <v>1</v>
      </c>
      <c r="H155" s="25" t="s">
        <v>68</v>
      </c>
    </row>
    <row r="156" spans="1:8" ht="15.75" x14ac:dyDescent="0.25">
      <c r="A156" s="25" t="s">
        <v>224</v>
      </c>
      <c r="B156" s="25">
        <v>39</v>
      </c>
      <c r="C156" s="25" t="s">
        <v>78</v>
      </c>
      <c r="D156" s="26">
        <v>96247</v>
      </c>
      <c r="E156" s="25">
        <v>6</v>
      </c>
      <c r="F156" s="25">
        <v>4</v>
      </c>
      <c r="G156" s="25">
        <v>1</v>
      </c>
      <c r="H156" s="25" t="s">
        <v>65</v>
      </c>
    </row>
    <row r="157" spans="1:8" ht="15.75" x14ac:dyDescent="0.25">
      <c r="A157" s="25" t="s">
        <v>225</v>
      </c>
      <c r="B157" s="25">
        <v>32</v>
      </c>
      <c r="C157" s="25" t="s">
        <v>67</v>
      </c>
      <c r="D157" s="26">
        <v>43706</v>
      </c>
      <c r="E157" s="25">
        <v>13</v>
      </c>
      <c r="F157" s="25">
        <v>4</v>
      </c>
      <c r="G157" s="25">
        <v>1</v>
      </c>
      <c r="H157" s="25" t="s">
        <v>65</v>
      </c>
    </row>
    <row r="158" spans="1:8" ht="15.75" x14ac:dyDescent="0.25">
      <c r="A158" s="25" t="s">
        <v>226</v>
      </c>
      <c r="B158" s="25">
        <v>45</v>
      </c>
      <c r="C158" s="25" t="s">
        <v>67</v>
      </c>
      <c r="D158" s="26">
        <v>40924</v>
      </c>
      <c r="E158" s="25">
        <v>14</v>
      </c>
      <c r="F158" s="25">
        <v>3</v>
      </c>
      <c r="G158" s="25">
        <v>1</v>
      </c>
      <c r="H158" s="25" t="s">
        <v>65</v>
      </c>
    </row>
    <row r="159" spans="1:8" ht="15.75" x14ac:dyDescent="0.25">
      <c r="A159" s="25" t="s">
        <v>227</v>
      </c>
      <c r="B159" s="25">
        <v>55</v>
      </c>
      <c r="C159" s="25" t="s">
        <v>64</v>
      </c>
      <c r="D159" s="26">
        <v>45921</v>
      </c>
      <c r="E159" s="25">
        <v>11</v>
      </c>
      <c r="F159" s="25">
        <v>3</v>
      </c>
      <c r="G159" s="25">
        <v>0</v>
      </c>
      <c r="H159" s="25" t="s">
        <v>68</v>
      </c>
    </row>
    <row r="160" spans="1:8" ht="15.75" x14ac:dyDescent="0.25">
      <c r="A160" s="25" t="s">
        <v>228</v>
      </c>
      <c r="B160" s="25">
        <v>21</v>
      </c>
      <c r="C160" s="25" t="s">
        <v>83</v>
      </c>
      <c r="D160" s="26">
        <v>55432</v>
      </c>
      <c r="E160" s="25">
        <v>11</v>
      </c>
      <c r="F160" s="25">
        <v>4</v>
      </c>
      <c r="G160" s="25">
        <v>1</v>
      </c>
      <c r="H160" s="25" t="s">
        <v>65</v>
      </c>
    </row>
    <row r="161" spans="1:8" ht="15.75" x14ac:dyDescent="0.25">
      <c r="A161" s="25" t="s">
        <v>229</v>
      </c>
      <c r="B161" s="25">
        <v>25</v>
      </c>
      <c r="C161" s="25" t="s">
        <v>64</v>
      </c>
      <c r="D161" s="26">
        <v>47813</v>
      </c>
      <c r="E161" s="25">
        <v>7</v>
      </c>
      <c r="F161" s="25">
        <v>3</v>
      </c>
      <c r="G161" s="25">
        <v>1</v>
      </c>
      <c r="H161" s="25" t="s">
        <v>65</v>
      </c>
    </row>
    <row r="162" spans="1:8" ht="15.75" x14ac:dyDescent="0.25">
      <c r="A162" s="25" t="s">
        <v>230</v>
      </c>
      <c r="B162" s="25">
        <v>21</v>
      </c>
      <c r="C162" s="25" t="s">
        <v>78</v>
      </c>
      <c r="D162" s="26">
        <v>95250</v>
      </c>
      <c r="E162" s="25">
        <v>15</v>
      </c>
      <c r="F162" s="25">
        <v>1</v>
      </c>
      <c r="G162" s="25">
        <v>0</v>
      </c>
      <c r="H162" s="25" t="s">
        <v>68</v>
      </c>
    </row>
    <row r="163" spans="1:8" ht="15.75" x14ac:dyDescent="0.25">
      <c r="A163" s="25" t="s">
        <v>231</v>
      </c>
      <c r="B163" s="25">
        <v>28</v>
      </c>
      <c r="C163" s="25" t="s">
        <v>67</v>
      </c>
      <c r="D163" s="26">
        <v>98956</v>
      </c>
      <c r="E163" s="25">
        <v>8</v>
      </c>
      <c r="F163" s="25">
        <v>4</v>
      </c>
      <c r="G163" s="25">
        <v>0</v>
      </c>
      <c r="H163" s="25" t="s">
        <v>65</v>
      </c>
    </row>
    <row r="164" spans="1:8" ht="15.75" x14ac:dyDescent="0.25">
      <c r="A164" s="25" t="s">
        <v>232</v>
      </c>
      <c r="B164" s="25">
        <v>59</v>
      </c>
      <c r="C164" s="25" t="s">
        <v>67</v>
      </c>
      <c r="D164" s="26">
        <v>32068</v>
      </c>
      <c r="E164" s="25">
        <v>1</v>
      </c>
      <c r="F164" s="25">
        <v>3</v>
      </c>
      <c r="G164" s="25">
        <v>1</v>
      </c>
      <c r="H164" s="25" t="s">
        <v>65</v>
      </c>
    </row>
    <row r="165" spans="1:8" ht="15.75" x14ac:dyDescent="0.25">
      <c r="A165" s="25" t="s">
        <v>233</v>
      </c>
      <c r="B165" s="25">
        <v>38</v>
      </c>
      <c r="C165" s="25" t="s">
        <v>70</v>
      </c>
      <c r="D165" s="26">
        <v>69927</v>
      </c>
      <c r="E165" s="25">
        <v>13</v>
      </c>
      <c r="F165" s="25">
        <v>1</v>
      </c>
      <c r="G165" s="25">
        <v>0</v>
      </c>
      <c r="H165" s="25" t="s">
        <v>65</v>
      </c>
    </row>
    <row r="166" spans="1:8" ht="15.75" x14ac:dyDescent="0.25">
      <c r="A166" s="25" t="s">
        <v>234</v>
      </c>
      <c r="B166" s="25">
        <v>29</v>
      </c>
      <c r="C166" s="25" t="s">
        <v>83</v>
      </c>
      <c r="D166" s="26">
        <v>100342</v>
      </c>
      <c r="E166" s="25">
        <v>15</v>
      </c>
      <c r="F166" s="25">
        <v>1</v>
      </c>
      <c r="G166" s="25">
        <v>1</v>
      </c>
      <c r="H166" s="25" t="s">
        <v>68</v>
      </c>
    </row>
    <row r="167" spans="1:8" ht="15.75" x14ac:dyDescent="0.25">
      <c r="A167" s="25" t="s">
        <v>235</v>
      </c>
      <c r="B167" s="25">
        <v>25</v>
      </c>
      <c r="C167" s="25" t="s">
        <v>83</v>
      </c>
      <c r="D167" s="26">
        <v>60539</v>
      </c>
      <c r="E167" s="25">
        <v>4</v>
      </c>
      <c r="F167" s="25">
        <v>4</v>
      </c>
      <c r="G167" s="25">
        <v>0</v>
      </c>
      <c r="H167" s="25" t="s">
        <v>68</v>
      </c>
    </row>
    <row r="168" spans="1:8" ht="15.75" x14ac:dyDescent="0.25">
      <c r="A168" s="25" t="s">
        <v>236</v>
      </c>
      <c r="B168" s="25">
        <v>24</v>
      </c>
      <c r="C168" s="25" t="s">
        <v>70</v>
      </c>
      <c r="D168" s="26">
        <v>41683</v>
      </c>
      <c r="E168" s="25">
        <v>4</v>
      </c>
      <c r="F168" s="25">
        <v>1</v>
      </c>
      <c r="G168" s="25">
        <v>0</v>
      </c>
      <c r="H168" s="25" t="s">
        <v>65</v>
      </c>
    </row>
    <row r="169" spans="1:8" ht="15.75" x14ac:dyDescent="0.25">
      <c r="A169" s="25" t="s">
        <v>237</v>
      </c>
      <c r="B169" s="25">
        <v>49</v>
      </c>
      <c r="C169" s="25" t="s">
        <v>78</v>
      </c>
      <c r="D169" s="26">
        <v>115151</v>
      </c>
      <c r="E169" s="25">
        <v>19</v>
      </c>
      <c r="F169" s="25">
        <v>4</v>
      </c>
      <c r="G169" s="25">
        <v>0</v>
      </c>
      <c r="H169" s="25" t="s">
        <v>65</v>
      </c>
    </row>
    <row r="170" spans="1:8" ht="15.75" x14ac:dyDescent="0.25">
      <c r="A170" s="25" t="s">
        <v>238</v>
      </c>
      <c r="B170" s="25">
        <v>21</v>
      </c>
      <c r="C170" s="25" t="s">
        <v>83</v>
      </c>
      <c r="D170" s="26">
        <v>65674</v>
      </c>
      <c r="E170" s="25">
        <v>17</v>
      </c>
      <c r="F170" s="25">
        <v>1</v>
      </c>
      <c r="G170" s="25">
        <v>0</v>
      </c>
      <c r="H170" s="25" t="s">
        <v>65</v>
      </c>
    </row>
    <row r="171" spans="1:8" ht="15.75" x14ac:dyDescent="0.25">
      <c r="A171" s="25" t="s">
        <v>239</v>
      </c>
      <c r="B171" s="25">
        <v>50</v>
      </c>
      <c r="C171" s="25" t="s">
        <v>67</v>
      </c>
      <c r="D171" s="26">
        <v>82703</v>
      </c>
      <c r="E171" s="25">
        <v>17</v>
      </c>
      <c r="F171" s="25">
        <v>4</v>
      </c>
      <c r="G171" s="25">
        <v>0</v>
      </c>
      <c r="H171" s="25" t="s">
        <v>65</v>
      </c>
    </row>
    <row r="172" spans="1:8" ht="15.75" x14ac:dyDescent="0.25">
      <c r="A172" s="25" t="s">
        <v>240</v>
      </c>
      <c r="B172" s="25">
        <v>21</v>
      </c>
      <c r="C172" s="25" t="s">
        <v>78</v>
      </c>
      <c r="D172" s="26">
        <v>88810</v>
      </c>
      <c r="E172" s="25">
        <v>4</v>
      </c>
      <c r="F172" s="25">
        <v>4</v>
      </c>
      <c r="G172" s="25">
        <v>0</v>
      </c>
      <c r="H172" s="25" t="s">
        <v>65</v>
      </c>
    </row>
    <row r="173" spans="1:8" ht="15.75" x14ac:dyDescent="0.25">
      <c r="A173" s="25" t="s">
        <v>241</v>
      </c>
      <c r="B173" s="25">
        <v>23</v>
      </c>
      <c r="C173" s="25" t="s">
        <v>64</v>
      </c>
      <c r="D173" s="26">
        <v>116111</v>
      </c>
      <c r="E173" s="25">
        <v>10</v>
      </c>
      <c r="F173" s="25">
        <v>4</v>
      </c>
      <c r="G173" s="25">
        <v>0</v>
      </c>
      <c r="H173" s="25" t="s">
        <v>65</v>
      </c>
    </row>
    <row r="174" spans="1:8" ht="15.75" x14ac:dyDescent="0.25">
      <c r="A174" s="25" t="s">
        <v>242</v>
      </c>
      <c r="B174" s="25">
        <v>42</v>
      </c>
      <c r="C174" s="25" t="s">
        <v>64</v>
      </c>
      <c r="D174" s="26">
        <v>115343</v>
      </c>
      <c r="E174" s="25">
        <v>12</v>
      </c>
      <c r="F174" s="25">
        <v>4</v>
      </c>
      <c r="G174" s="25">
        <v>1</v>
      </c>
      <c r="H174" s="25" t="s">
        <v>68</v>
      </c>
    </row>
    <row r="175" spans="1:8" ht="15.75" x14ac:dyDescent="0.25">
      <c r="A175" s="25" t="s">
        <v>243</v>
      </c>
      <c r="B175" s="25">
        <v>28</v>
      </c>
      <c r="C175" s="25" t="s">
        <v>78</v>
      </c>
      <c r="D175" s="26">
        <v>115977</v>
      </c>
      <c r="E175" s="25">
        <v>2</v>
      </c>
      <c r="F175" s="25">
        <v>1</v>
      </c>
      <c r="G175" s="25">
        <v>0</v>
      </c>
      <c r="H175" s="25" t="s">
        <v>65</v>
      </c>
    </row>
    <row r="176" spans="1:8" ht="15.75" x14ac:dyDescent="0.25">
      <c r="A176" s="25" t="s">
        <v>244</v>
      </c>
      <c r="B176" s="25">
        <v>38</v>
      </c>
      <c r="C176" s="25" t="s">
        <v>67</v>
      </c>
      <c r="D176" s="26">
        <v>117114</v>
      </c>
      <c r="E176" s="25">
        <v>16</v>
      </c>
      <c r="F176" s="25">
        <v>4</v>
      </c>
      <c r="G176" s="25">
        <v>1</v>
      </c>
      <c r="H176" s="25" t="s">
        <v>65</v>
      </c>
    </row>
    <row r="177" spans="1:8" ht="15.75" x14ac:dyDescent="0.25">
      <c r="A177" s="25" t="s">
        <v>245</v>
      </c>
      <c r="B177" s="25">
        <v>45</v>
      </c>
      <c r="C177" s="25" t="s">
        <v>64</v>
      </c>
      <c r="D177" s="26">
        <v>41117</v>
      </c>
      <c r="E177" s="25">
        <v>17</v>
      </c>
      <c r="F177" s="25">
        <v>3</v>
      </c>
      <c r="G177" s="25">
        <v>0</v>
      </c>
      <c r="H177" s="25" t="s">
        <v>65</v>
      </c>
    </row>
    <row r="178" spans="1:8" ht="15.75" x14ac:dyDescent="0.25">
      <c r="A178" s="25" t="s">
        <v>246</v>
      </c>
      <c r="B178" s="25">
        <v>40</v>
      </c>
      <c r="C178" s="25" t="s">
        <v>67</v>
      </c>
      <c r="D178" s="26">
        <v>33665</v>
      </c>
      <c r="E178" s="25">
        <v>13</v>
      </c>
      <c r="F178" s="25">
        <v>1</v>
      </c>
      <c r="G178" s="25">
        <v>0</v>
      </c>
      <c r="H178" s="25" t="s">
        <v>68</v>
      </c>
    </row>
    <row r="179" spans="1:8" ht="15.75" x14ac:dyDescent="0.25">
      <c r="A179" s="25" t="s">
        <v>247</v>
      </c>
      <c r="B179" s="25">
        <v>51</v>
      </c>
      <c r="C179" s="25" t="s">
        <v>70</v>
      </c>
      <c r="D179" s="26">
        <v>74390</v>
      </c>
      <c r="E179" s="25">
        <v>11</v>
      </c>
      <c r="F179" s="25">
        <v>4</v>
      </c>
      <c r="G179" s="25">
        <v>0</v>
      </c>
      <c r="H179" s="25" t="s">
        <v>65</v>
      </c>
    </row>
    <row r="180" spans="1:8" ht="15.75" x14ac:dyDescent="0.25">
      <c r="A180" s="25" t="s">
        <v>248</v>
      </c>
      <c r="B180" s="25">
        <v>50</v>
      </c>
      <c r="C180" s="25" t="s">
        <v>83</v>
      </c>
      <c r="D180" s="26">
        <v>104884</v>
      </c>
      <c r="E180" s="25">
        <v>13</v>
      </c>
      <c r="F180" s="25">
        <v>1</v>
      </c>
      <c r="G180" s="25">
        <v>0</v>
      </c>
      <c r="H180" s="25" t="s">
        <v>68</v>
      </c>
    </row>
    <row r="181" spans="1:8" ht="15.75" x14ac:dyDescent="0.25">
      <c r="A181" s="25" t="s">
        <v>249</v>
      </c>
      <c r="B181" s="25">
        <v>36</v>
      </c>
      <c r="C181" s="25" t="s">
        <v>78</v>
      </c>
      <c r="D181" s="26">
        <v>93887</v>
      </c>
      <c r="E181" s="25">
        <v>17</v>
      </c>
      <c r="F181" s="25">
        <v>1</v>
      </c>
      <c r="G181" s="25">
        <v>0</v>
      </c>
      <c r="H181" s="25" t="s">
        <v>65</v>
      </c>
    </row>
    <row r="182" spans="1:8" ht="15.75" x14ac:dyDescent="0.25">
      <c r="A182" s="25" t="s">
        <v>250</v>
      </c>
      <c r="B182" s="25">
        <v>22</v>
      </c>
      <c r="C182" s="25" t="s">
        <v>83</v>
      </c>
      <c r="D182" s="26">
        <v>78266</v>
      </c>
      <c r="E182" s="25">
        <v>19</v>
      </c>
      <c r="F182" s="25">
        <v>1</v>
      </c>
      <c r="G182" s="25">
        <v>0</v>
      </c>
      <c r="H182" s="25" t="s">
        <v>65</v>
      </c>
    </row>
    <row r="183" spans="1:8" ht="15.75" x14ac:dyDescent="0.25">
      <c r="A183" s="25" t="s">
        <v>251</v>
      </c>
      <c r="B183" s="25">
        <v>37</v>
      </c>
      <c r="C183" s="25" t="s">
        <v>70</v>
      </c>
      <c r="D183" s="26">
        <v>85541</v>
      </c>
      <c r="E183" s="25">
        <v>1</v>
      </c>
      <c r="F183" s="25">
        <v>1</v>
      </c>
      <c r="G183" s="25">
        <v>0</v>
      </c>
      <c r="H183" s="25" t="s">
        <v>65</v>
      </c>
    </row>
    <row r="184" spans="1:8" ht="15.75" x14ac:dyDescent="0.25">
      <c r="A184" s="25" t="s">
        <v>252</v>
      </c>
      <c r="B184" s="25">
        <v>30</v>
      </c>
      <c r="C184" s="25" t="s">
        <v>64</v>
      </c>
      <c r="D184" s="26">
        <v>94802</v>
      </c>
      <c r="E184" s="25">
        <v>6</v>
      </c>
      <c r="F184" s="25">
        <v>4</v>
      </c>
      <c r="G184" s="25">
        <v>0</v>
      </c>
      <c r="H184" s="25" t="s">
        <v>65</v>
      </c>
    </row>
    <row r="185" spans="1:8" ht="15.75" x14ac:dyDescent="0.25">
      <c r="A185" s="25" t="s">
        <v>253</v>
      </c>
      <c r="B185" s="25">
        <v>27</v>
      </c>
      <c r="C185" s="25" t="s">
        <v>67</v>
      </c>
      <c r="D185" s="26">
        <v>37882</v>
      </c>
      <c r="E185" s="25">
        <v>14</v>
      </c>
      <c r="F185" s="25">
        <v>1</v>
      </c>
      <c r="G185" s="25">
        <v>0</v>
      </c>
      <c r="H185" s="25" t="s">
        <v>65</v>
      </c>
    </row>
    <row r="186" spans="1:8" ht="15.75" x14ac:dyDescent="0.25">
      <c r="A186" s="25" t="s">
        <v>254</v>
      </c>
      <c r="B186" s="25">
        <v>29</v>
      </c>
      <c r="C186" s="25" t="s">
        <v>67</v>
      </c>
      <c r="D186" s="26">
        <v>100825</v>
      </c>
      <c r="E186" s="25">
        <v>9</v>
      </c>
      <c r="F186" s="25">
        <v>3</v>
      </c>
      <c r="G186" s="25">
        <v>1</v>
      </c>
      <c r="H186" s="25" t="s">
        <v>65</v>
      </c>
    </row>
    <row r="187" spans="1:8" ht="15.75" x14ac:dyDescent="0.25">
      <c r="A187" s="25" t="s">
        <v>255</v>
      </c>
      <c r="B187" s="25">
        <v>37</v>
      </c>
      <c r="C187" s="25" t="s">
        <v>70</v>
      </c>
      <c r="D187" s="26">
        <v>43910</v>
      </c>
      <c r="E187" s="25">
        <v>14</v>
      </c>
      <c r="F187" s="25">
        <v>1</v>
      </c>
      <c r="G187" s="25">
        <v>0</v>
      </c>
      <c r="H187" s="25" t="s">
        <v>65</v>
      </c>
    </row>
    <row r="188" spans="1:8" ht="15.75" x14ac:dyDescent="0.25">
      <c r="A188" s="25" t="s">
        <v>256</v>
      </c>
      <c r="B188" s="25">
        <v>29</v>
      </c>
      <c r="C188" s="25" t="s">
        <v>78</v>
      </c>
      <c r="D188" s="26">
        <v>70566</v>
      </c>
      <c r="E188" s="25">
        <v>16</v>
      </c>
      <c r="F188" s="25">
        <v>1</v>
      </c>
      <c r="G188" s="25">
        <v>1</v>
      </c>
      <c r="H188" s="25" t="s">
        <v>65</v>
      </c>
    </row>
    <row r="189" spans="1:8" ht="15.75" x14ac:dyDescent="0.25">
      <c r="A189" s="25" t="s">
        <v>257</v>
      </c>
      <c r="B189" s="25">
        <v>29</v>
      </c>
      <c r="C189" s="25" t="s">
        <v>83</v>
      </c>
      <c r="D189" s="26">
        <v>93073</v>
      </c>
      <c r="E189" s="25">
        <v>10</v>
      </c>
      <c r="F189" s="25">
        <v>3</v>
      </c>
      <c r="G189" s="25">
        <v>0</v>
      </c>
      <c r="H189" s="25" t="s">
        <v>65</v>
      </c>
    </row>
    <row r="190" spans="1:8" ht="15.75" x14ac:dyDescent="0.25">
      <c r="A190" s="25" t="s">
        <v>258</v>
      </c>
      <c r="B190" s="25">
        <v>57</v>
      </c>
      <c r="C190" s="25" t="s">
        <v>64</v>
      </c>
      <c r="D190" s="26">
        <v>66176</v>
      </c>
      <c r="E190" s="25">
        <v>1</v>
      </c>
      <c r="F190" s="25">
        <v>4</v>
      </c>
      <c r="G190" s="25">
        <v>0</v>
      </c>
      <c r="H190" s="25" t="s">
        <v>65</v>
      </c>
    </row>
    <row r="191" spans="1:8" ht="15.75" x14ac:dyDescent="0.25">
      <c r="A191" s="25" t="s">
        <v>259</v>
      </c>
      <c r="B191" s="25">
        <v>44</v>
      </c>
      <c r="C191" s="25" t="s">
        <v>78</v>
      </c>
      <c r="D191" s="26">
        <v>113081</v>
      </c>
      <c r="E191" s="25">
        <v>17</v>
      </c>
      <c r="F191" s="25">
        <v>3</v>
      </c>
      <c r="G191" s="25">
        <v>0</v>
      </c>
      <c r="H191" s="25" t="s">
        <v>68</v>
      </c>
    </row>
    <row r="192" spans="1:8" ht="15.75" x14ac:dyDescent="0.25">
      <c r="A192" s="25" t="s">
        <v>260</v>
      </c>
      <c r="B192" s="25">
        <v>59</v>
      </c>
      <c r="C192" s="25" t="s">
        <v>70</v>
      </c>
      <c r="D192" s="26">
        <v>60289</v>
      </c>
      <c r="E192" s="25">
        <v>3</v>
      </c>
      <c r="F192" s="25">
        <v>2</v>
      </c>
      <c r="G192" s="25">
        <v>0</v>
      </c>
      <c r="H192" s="25" t="s">
        <v>68</v>
      </c>
    </row>
    <row r="193" spans="1:8" ht="15.75" x14ac:dyDescent="0.25">
      <c r="A193" s="25" t="s">
        <v>261</v>
      </c>
      <c r="B193" s="25">
        <v>31</v>
      </c>
      <c r="C193" s="25" t="s">
        <v>70</v>
      </c>
      <c r="D193" s="26">
        <v>80411</v>
      </c>
      <c r="E193" s="25">
        <v>8</v>
      </c>
      <c r="F193" s="25">
        <v>3</v>
      </c>
      <c r="G193" s="25">
        <v>1</v>
      </c>
      <c r="H193" s="25" t="s">
        <v>65</v>
      </c>
    </row>
    <row r="194" spans="1:8" ht="15.75" x14ac:dyDescent="0.25">
      <c r="A194" s="25" t="s">
        <v>262</v>
      </c>
      <c r="B194" s="25">
        <v>28</v>
      </c>
      <c r="C194" s="25" t="s">
        <v>67</v>
      </c>
      <c r="D194" s="26">
        <v>99626</v>
      </c>
      <c r="E194" s="25">
        <v>16</v>
      </c>
      <c r="F194" s="25">
        <v>4</v>
      </c>
      <c r="G194" s="25">
        <v>0</v>
      </c>
      <c r="H194" s="25" t="s">
        <v>65</v>
      </c>
    </row>
    <row r="195" spans="1:8" ht="15.75" x14ac:dyDescent="0.25">
      <c r="A195" s="25" t="s">
        <v>263</v>
      </c>
      <c r="B195" s="25">
        <v>45</v>
      </c>
      <c r="C195" s="25" t="s">
        <v>64</v>
      </c>
      <c r="D195" s="26">
        <v>45362</v>
      </c>
      <c r="E195" s="25">
        <v>16</v>
      </c>
      <c r="F195" s="25">
        <v>3</v>
      </c>
      <c r="G195" s="25">
        <v>0</v>
      </c>
      <c r="H195" s="25" t="s">
        <v>65</v>
      </c>
    </row>
    <row r="196" spans="1:8" ht="15.75" x14ac:dyDescent="0.25">
      <c r="A196" s="25" t="s">
        <v>264</v>
      </c>
      <c r="B196" s="25">
        <v>22</v>
      </c>
      <c r="C196" s="25" t="s">
        <v>78</v>
      </c>
      <c r="D196" s="26">
        <v>117610</v>
      </c>
      <c r="E196" s="25">
        <v>16</v>
      </c>
      <c r="F196" s="25">
        <v>1</v>
      </c>
      <c r="G196" s="25">
        <v>0</v>
      </c>
      <c r="H196" s="25" t="s">
        <v>65</v>
      </c>
    </row>
    <row r="197" spans="1:8" ht="15.75" x14ac:dyDescent="0.25">
      <c r="A197" s="25" t="s">
        <v>265</v>
      </c>
      <c r="B197" s="25">
        <v>30</v>
      </c>
      <c r="C197" s="25" t="s">
        <v>67</v>
      </c>
      <c r="D197" s="26">
        <v>43783</v>
      </c>
      <c r="E197" s="25">
        <v>15</v>
      </c>
      <c r="F197" s="25">
        <v>4</v>
      </c>
      <c r="G197" s="25">
        <v>0</v>
      </c>
      <c r="H197" s="25" t="s">
        <v>65</v>
      </c>
    </row>
    <row r="198" spans="1:8" ht="15.75" x14ac:dyDescent="0.25">
      <c r="A198" s="25" t="s">
        <v>266</v>
      </c>
      <c r="B198" s="25">
        <v>44</v>
      </c>
      <c r="C198" s="25" t="s">
        <v>64</v>
      </c>
      <c r="D198" s="26">
        <v>74162</v>
      </c>
      <c r="E198" s="25">
        <v>19</v>
      </c>
      <c r="F198" s="25">
        <v>2</v>
      </c>
      <c r="G198" s="25">
        <v>1</v>
      </c>
      <c r="H198" s="25" t="s">
        <v>65</v>
      </c>
    </row>
    <row r="199" spans="1:8" ht="15.75" x14ac:dyDescent="0.25">
      <c r="A199" s="25" t="s">
        <v>267</v>
      </c>
      <c r="B199" s="25">
        <v>36</v>
      </c>
      <c r="C199" s="25" t="s">
        <v>83</v>
      </c>
      <c r="D199" s="26">
        <v>65749</v>
      </c>
      <c r="E199" s="25">
        <v>7</v>
      </c>
      <c r="F199" s="25">
        <v>4</v>
      </c>
      <c r="G199" s="25">
        <v>0</v>
      </c>
      <c r="H199" s="25" t="s">
        <v>65</v>
      </c>
    </row>
    <row r="200" spans="1:8" ht="15.75" x14ac:dyDescent="0.25">
      <c r="A200" s="25" t="s">
        <v>268</v>
      </c>
      <c r="B200" s="25">
        <v>39</v>
      </c>
      <c r="C200" s="25" t="s">
        <v>83</v>
      </c>
      <c r="D200" s="26">
        <v>33554</v>
      </c>
      <c r="E200" s="25">
        <v>14</v>
      </c>
      <c r="F200" s="25">
        <v>1</v>
      </c>
      <c r="G200" s="25">
        <v>0</v>
      </c>
      <c r="H200" s="25" t="s">
        <v>65</v>
      </c>
    </row>
    <row r="201" spans="1:8" ht="15.75" x14ac:dyDescent="0.25">
      <c r="A201" s="25" t="s">
        <v>269</v>
      </c>
      <c r="B201" s="25">
        <v>51</v>
      </c>
      <c r="C201" s="25" t="s">
        <v>67</v>
      </c>
      <c r="D201" s="26">
        <v>88568</v>
      </c>
      <c r="E201" s="25">
        <v>0</v>
      </c>
      <c r="F201" s="25">
        <v>2</v>
      </c>
      <c r="G201" s="25">
        <v>0</v>
      </c>
      <c r="H201" s="25" t="s">
        <v>68</v>
      </c>
    </row>
    <row r="202" spans="1:8" ht="15.75" x14ac:dyDescent="0.25">
      <c r="A202" s="25" t="s">
        <v>270</v>
      </c>
      <c r="B202" s="25">
        <v>31</v>
      </c>
      <c r="C202" s="25" t="s">
        <v>78</v>
      </c>
      <c r="D202" s="26">
        <v>48773</v>
      </c>
      <c r="E202" s="25">
        <v>18</v>
      </c>
      <c r="F202" s="25">
        <v>4</v>
      </c>
      <c r="G202" s="25">
        <v>0</v>
      </c>
      <c r="H202" s="25" t="s">
        <v>65</v>
      </c>
    </row>
    <row r="203" spans="1:8" ht="15.75" x14ac:dyDescent="0.25">
      <c r="A203" s="25" t="s">
        <v>271</v>
      </c>
      <c r="B203" s="25">
        <v>26</v>
      </c>
      <c r="C203" s="25" t="s">
        <v>64</v>
      </c>
      <c r="D203" s="26">
        <v>103694</v>
      </c>
      <c r="E203" s="25">
        <v>14</v>
      </c>
      <c r="F203" s="25">
        <v>4</v>
      </c>
      <c r="G203" s="25">
        <v>0</v>
      </c>
      <c r="H203" s="25" t="s">
        <v>65</v>
      </c>
    </row>
    <row r="204" spans="1:8" ht="15.75" x14ac:dyDescent="0.25">
      <c r="A204" s="25" t="s">
        <v>272</v>
      </c>
      <c r="B204" s="25">
        <v>26</v>
      </c>
      <c r="C204" s="25" t="s">
        <v>83</v>
      </c>
      <c r="D204" s="26">
        <v>96550</v>
      </c>
      <c r="E204" s="25">
        <v>8</v>
      </c>
      <c r="F204" s="25">
        <v>1</v>
      </c>
      <c r="G204" s="25">
        <v>0</v>
      </c>
      <c r="H204" s="25" t="s">
        <v>65</v>
      </c>
    </row>
    <row r="205" spans="1:8" ht="15.75" x14ac:dyDescent="0.25">
      <c r="A205" s="25" t="s">
        <v>273</v>
      </c>
      <c r="B205" s="25">
        <v>52</v>
      </c>
      <c r="C205" s="25" t="s">
        <v>83</v>
      </c>
      <c r="D205" s="26">
        <v>76295</v>
      </c>
      <c r="E205" s="25">
        <v>4</v>
      </c>
      <c r="F205" s="25">
        <v>3</v>
      </c>
      <c r="G205" s="25">
        <v>0</v>
      </c>
      <c r="H205" s="25" t="s">
        <v>65</v>
      </c>
    </row>
    <row r="206" spans="1:8" ht="15.75" x14ac:dyDescent="0.25">
      <c r="A206" s="25" t="s">
        <v>274</v>
      </c>
      <c r="B206" s="25">
        <v>59</v>
      </c>
      <c r="C206" s="25" t="s">
        <v>78</v>
      </c>
      <c r="D206" s="26">
        <v>60331</v>
      </c>
      <c r="E206" s="25">
        <v>15</v>
      </c>
      <c r="F206" s="25">
        <v>3</v>
      </c>
      <c r="G206" s="25">
        <v>1</v>
      </c>
      <c r="H206" s="25" t="s">
        <v>68</v>
      </c>
    </row>
    <row r="207" spans="1:8" ht="15.75" x14ac:dyDescent="0.25">
      <c r="A207" s="25" t="s">
        <v>275</v>
      </c>
      <c r="B207" s="25">
        <v>33</v>
      </c>
      <c r="C207" s="25" t="s">
        <v>67</v>
      </c>
      <c r="D207" s="26">
        <v>75640</v>
      </c>
      <c r="E207" s="25">
        <v>12</v>
      </c>
      <c r="F207" s="25">
        <v>2</v>
      </c>
      <c r="G207" s="25">
        <v>0</v>
      </c>
      <c r="H207" s="25" t="s">
        <v>68</v>
      </c>
    </row>
    <row r="208" spans="1:8" ht="15.75" x14ac:dyDescent="0.25">
      <c r="A208" s="25" t="s">
        <v>276</v>
      </c>
      <c r="B208" s="25">
        <v>23</v>
      </c>
      <c r="C208" s="25" t="s">
        <v>70</v>
      </c>
      <c r="D208" s="26">
        <v>94877</v>
      </c>
      <c r="E208" s="25">
        <v>15</v>
      </c>
      <c r="F208" s="25">
        <v>1</v>
      </c>
      <c r="G208" s="25">
        <v>0</v>
      </c>
      <c r="H208" s="25" t="s">
        <v>68</v>
      </c>
    </row>
    <row r="209" spans="1:8" ht="15.75" x14ac:dyDescent="0.25">
      <c r="A209" s="25" t="s">
        <v>277</v>
      </c>
      <c r="B209" s="25">
        <v>55</v>
      </c>
      <c r="C209" s="25" t="s">
        <v>64</v>
      </c>
      <c r="D209" s="26">
        <v>76969</v>
      </c>
      <c r="E209" s="25">
        <v>10</v>
      </c>
      <c r="F209" s="25">
        <v>1</v>
      </c>
      <c r="G209" s="25">
        <v>0</v>
      </c>
      <c r="H209" s="25" t="s">
        <v>68</v>
      </c>
    </row>
    <row r="210" spans="1:8" ht="15.75" x14ac:dyDescent="0.25">
      <c r="A210" s="25" t="s">
        <v>278</v>
      </c>
      <c r="B210" s="25">
        <v>58</v>
      </c>
      <c r="C210" s="25" t="s">
        <v>83</v>
      </c>
      <c r="D210" s="26">
        <v>72986</v>
      </c>
      <c r="E210" s="25">
        <v>12</v>
      </c>
      <c r="F210" s="25">
        <v>3</v>
      </c>
      <c r="G210" s="25">
        <v>0</v>
      </c>
      <c r="H210" s="25" t="s">
        <v>68</v>
      </c>
    </row>
    <row r="211" spans="1:8" ht="15.75" x14ac:dyDescent="0.25">
      <c r="A211" s="25" t="s">
        <v>279</v>
      </c>
      <c r="B211" s="25">
        <v>37</v>
      </c>
      <c r="C211" s="25" t="s">
        <v>70</v>
      </c>
      <c r="D211" s="26">
        <v>37585</v>
      </c>
      <c r="E211" s="25">
        <v>5</v>
      </c>
      <c r="F211" s="25">
        <v>3</v>
      </c>
      <c r="G211" s="25">
        <v>1</v>
      </c>
      <c r="H211" s="25" t="s">
        <v>65</v>
      </c>
    </row>
    <row r="212" spans="1:8" ht="15.75" x14ac:dyDescent="0.25">
      <c r="A212" s="25" t="s">
        <v>280</v>
      </c>
      <c r="B212" s="25">
        <v>23</v>
      </c>
      <c r="C212" s="25" t="s">
        <v>78</v>
      </c>
      <c r="D212" s="26">
        <v>34122</v>
      </c>
      <c r="E212" s="25">
        <v>19</v>
      </c>
      <c r="F212" s="25">
        <v>2</v>
      </c>
      <c r="G212" s="25">
        <v>0</v>
      </c>
      <c r="H212" s="25" t="s">
        <v>65</v>
      </c>
    </row>
    <row r="213" spans="1:8" ht="15.75" x14ac:dyDescent="0.25">
      <c r="A213" s="25" t="s">
        <v>281</v>
      </c>
      <c r="B213" s="25">
        <v>54</v>
      </c>
      <c r="C213" s="25" t="s">
        <v>67</v>
      </c>
      <c r="D213" s="26">
        <v>46838</v>
      </c>
      <c r="E213" s="25">
        <v>16</v>
      </c>
      <c r="F213" s="25">
        <v>3</v>
      </c>
      <c r="G213" s="25">
        <v>1</v>
      </c>
      <c r="H213" s="25" t="s">
        <v>65</v>
      </c>
    </row>
    <row r="214" spans="1:8" ht="15.75" x14ac:dyDescent="0.25">
      <c r="A214" s="25" t="s">
        <v>282</v>
      </c>
      <c r="B214" s="25">
        <v>32</v>
      </c>
      <c r="C214" s="25" t="s">
        <v>64</v>
      </c>
      <c r="D214" s="26">
        <v>47301</v>
      </c>
      <c r="E214" s="25">
        <v>4</v>
      </c>
      <c r="F214" s="25">
        <v>2</v>
      </c>
      <c r="G214" s="25">
        <v>0</v>
      </c>
      <c r="H214" s="25" t="s">
        <v>65</v>
      </c>
    </row>
    <row r="215" spans="1:8" ht="15.75" x14ac:dyDescent="0.25">
      <c r="A215" s="25" t="s">
        <v>283</v>
      </c>
      <c r="B215" s="25">
        <v>44</v>
      </c>
      <c r="C215" s="25" t="s">
        <v>78</v>
      </c>
      <c r="D215" s="26">
        <v>53107</v>
      </c>
      <c r="E215" s="25">
        <v>16</v>
      </c>
      <c r="F215" s="25">
        <v>4</v>
      </c>
      <c r="G215" s="25">
        <v>0</v>
      </c>
      <c r="H215" s="25" t="s">
        <v>65</v>
      </c>
    </row>
    <row r="216" spans="1:8" ht="15.75" x14ac:dyDescent="0.25">
      <c r="A216" s="25" t="s">
        <v>284</v>
      </c>
      <c r="B216" s="25">
        <v>26</v>
      </c>
      <c r="C216" s="25" t="s">
        <v>67</v>
      </c>
      <c r="D216" s="26">
        <v>87357</v>
      </c>
      <c r="E216" s="25">
        <v>0</v>
      </c>
      <c r="F216" s="25">
        <v>2</v>
      </c>
      <c r="G216" s="25">
        <v>0</v>
      </c>
      <c r="H216" s="25" t="s">
        <v>65</v>
      </c>
    </row>
    <row r="217" spans="1:8" ht="15.75" x14ac:dyDescent="0.25">
      <c r="A217" s="25" t="s">
        <v>285</v>
      </c>
      <c r="B217" s="25">
        <v>31</v>
      </c>
      <c r="C217" s="25" t="s">
        <v>78</v>
      </c>
      <c r="D217" s="26">
        <v>118161</v>
      </c>
      <c r="E217" s="25">
        <v>4</v>
      </c>
      <c r="F217" s="25">
        <v>2</v>
      </c>
      <c r="G217" s="25">
        <v>0</v>
      </c>
      <c r="H217" s="25" t="s">
        <v>68</v>
      </c>
    </row>
    <row r="218" spans="1:8" ht="15.75" x14ac:dyDescent="0.25">
      <c r="A218" s="25" t="s">
        <v>286</v>
      </c>
      <c r="B218" s="25">
        <v>47</v>
      </c>
      <c r="C218" s="25" t="s">
        <v>83</v>
      </c>
      <c r="D218" s="26">
        <v>85211</v>
      </c>
      <c r="E218" s="25">
        <v>4</v>
      </c>
      <c r="F218" s="25">
        <v>2</v>
      </c>
      <c r="G218" s="25">
        <v>0</v>
      </c>
      <c r="H218" s="25" t="s">
        <v>68</v>
      </c>
    </row>
    <row r="219" spans="1:8" ht="15.75" x14ac:dyDescent="0.25">
      <c r="A219" s="25" t="s">
        <v>287</v>
      </c>
      <c r="B219" s="25">
        <v>44</v>
      </c>
      <c r="C219" s="25" t="s">
        <v>83</v>
      </c>
      <c r="D219" s="26">
        <v>96025</v>
      </c>
      <c r="E219" s="25">
        <v>6</v>
      </c>
      <c r="F219" s="25">
        <v>4</v>
      </c>
      <c r="G219" s="25">
        <v>0</v>
      </c>
      <c r="H219" s="25" t="s">
        <v>65</v>
      </c>
    </row>
    <row r="220" spans="1:8" ht="15.75" x14ac:dyDescent="0.25">
      <c r="A220" s="25" t="s">
        <v>288</v>
      </c>
      <c r="B220" s="25">
        <v>38</v>
      </c>
      <c r="C220" s="25" t="s">
        <v>70</v>
      </c>
      <c r="D220" s="26">
        <v>96520</v>
      </c>
      <c r="E220" s="25">
        <v>15</v>
      </c>
      <c r="F220" s="25">
        <v>3</v>
      </c>
      <c r="G220" s="25">
        <v>0</v>
      </c>
      <c r="H220" s="25" t="s">
        <v>65</v>
      </c>
    </row>
    <row r="221" spans="1:8" ht="15.75" x14ac:dyDescent="0.25">
      <c r="A221" s="25" t="s">
        <v>289</v>
      </c>
      <c r="B221" s="25">
        <v>47</v>
      </c>
      <c r="C221" s="25" t="s">
        <v>78</v>
      </c>
      <c r="D221" s="26">
        <v>47344</v>
      </c>
      <c r="E221" s="25">
        <v>17</v>
      </c>
      <c r="F221" s="25">
        <v>2</v>
      </c>
      <c r="G221" s="25">
        <v>1</v>
      </c>
      <c r="H221" s="25" t="s">
        <v>65</v>
      </c>
    </row>
    <row r="222" spans="1:8" ht="15.75" x14ac:dyDescent="0.25">
      <c r="A222" s="25" t="s">
        <v>290</v>
      </c>
      <c r="B222" s="25">
        <v>41</v>
      </c>
      <c r="C222" s="25" t="s">
        <v>83</v>
      </c>
      <c r="D222" s="26">
        <v>87202</v>
      </c>
      <c r="E222" s="25">
        <v>5</v>
      </c>
      <c r="F222" s="25">
        <v>3</v>
      </c>
      <c r="G222" s="25">
        <v>1</v>
      </c>
      <c r="H222" s="25" t="s">
        <v>65</v>
      </c>
    </row>
    <row r="223" spans="1:8" ht="15.75" x14ac:dyDescent="0.25">
      <c r="A223" s="25" t="s">
        <v>291</v>
      </c>
      <c r="B223" s="25">
        <v>54</v>
      </c>
      <c r="C223" s="25" t="s">
        <v>67</v>
      </c>
      <c r="D223" s="26">
        <v>44959</v>
      </c>
      <c r="E223" s="25">
        <v>1</v>
      </c>
      <c r="F223" s="25">
        <v>2</v>
      </c>
      <c r="G223" s="25">
        <v>0</v>
      </c>
      <c r="H223" s="25" t="s">
        <v>65</v>
      </c>
    </row>
    <row r="224" spans="1:8" ht="15.75" x14ac:dyDescent="0.25">
      <c r="A224" s="25" t="s">
        <v>292</v>
      </c>
      <c r="B224" s="25">
        <v>53</v>
      </c>
      <c r="C224" s="25" t="s">
        <v>70</v>
      </c>
      <c r="D224" s="26">
        <v>68751</v>
      </c>
      <c r="E224" s="25">
        <v>12</v>
      </c>
      <c r="F224" s="25">
        <v>3</v>
      </c>
      <c r="G224" s="25">
        <v>0</v>
      </c>
      <c r="H224" s="25" t="s">
        <v>65</v>
      </c>
    </row>
    <row r="225" spans="1:8" ht="15.75" x14ac:dyDescent="0.25">
      <c r="A225" s="25" t="s">
        <v>293</v>
      </c>
      <c r="B225" s="25">
        <v>38</v>
      </c>
      <c r="C225" s="25" t="s">
        <v>64</v>
      </c>
      <c r="D225" s="26">
        <v>31869</v>
      </c>
      <c r="E225" s="25">
        <v>9</v>
      </c>
      <c r="F225" s="25">
        <v>2</v>
      </c>
      <c r="G225" s="25">
        <v>0</v>
      </c>
      <c r="H225" s="25" t="s">
        <v>65</v>
      </c>
    </row>
    <row r="226" spans="1:8" ht="15.75" x14ac:dyDescent="0.25">
      <c r="A226" s="25" t="s">
        <v>294</v>
      </c>
      <c r="B226" s="25">
        <v>23</v>
      </c>
      <c r="C226" s="25" t="s">
        <v>78</v>
      </c>
      <c r="D226" s="26">
        <v>74264</v>
      </c>
      <c r="E226" s="25">
        <v>19</v>
      </c>
      <c r="F226" s="25">
        <v>3</v>
      </c>
      <c r="G226" s="25">
        <v>1</v>
      </c>
      <c r="H226" s="25" t="s">
        <v>65</v>
      </c>
    </row>
    <row r="227" spans="1:8" ht="15.75" x14ac:dyDescent="0.25">
      <c r="A227" s="25" t="s">
        <v>295</v>
      </c>
      <c r="B227" s="25">
        <v>44</v>
      </c>
      <c r="C227" s="25" t="s">
        <v>83</v>
      </c>
      <c r="D227" s="26">
        <v>60268</v>
      </c>
      <c r="E227" s="25">
        <v>10</v>
      </c>
      <c r="F227" s="25">
        <v>1</v>
      </c>
      <c r="G227" s="25">
        <v>0</v>
      </c>
      <c r="H227" s="25" t="s">
        <v>65</v>
      </c>
    </row>
    <row r="228" spans="1:8" ht="15.75" x14ac:dyDescent="0.25">
      <c r="A228" s="25" t="s">
        <v>296</v>
      </c>
      <c r="B228" s="25">
        <v>21</v>
      </c>
      <c r="C228" s="25" t="s">
        <v>67</v>
      </c>
      <c r="D228" s="26">
        <v>114564</v>
      </c>
      <c r="E228" s="25">
        <v>1</v>
      </c>
      <c r="F228" s="25">
        <v>4</v>
      </c>
      <c r="G228" s="25">
        <v>0</v>
      </c>
      <c r="H228" s="25" t="s">
        <v>65</v>
      </c>
    </row>
    <row r="229" spans="1:8" ht="15.75" x14ac:dyDescent="0.25">
      <c r="A229" s="25" t="s">
        <v>297</v>
      </c>
      <c r="B229" s="25">
        <v>26</v>
      </c>
      <c r="C229" s="25" t="s">
        <v>78</v>
      </c>
      <c r="D229" s="26">
        <v>69606</v>
      </c>
      <c r="E229" s="25">
        <v>7</v>
      </c>
      <c r="F229" s="25">
        <v>2</v>
      </c>
      <c r="G229" s="25">
        <v>0</v>
      </c>
      <c r="H229" s="25" t="s">
        <v>68</v>
      </c>
    </row>
    <row r="230" spans="1:8" ht="15.75" x14ac:dyDescent="0.25">
      <c r="A230" s="25" t="s">
        <v>298</v>
      </c>
      <c r="B230" s="25">
        <v>39</v>
      </c>
      <c r="C230" s="25" t="s">
        <v>67</v>
      </c>
      <c r="D230" s="26">
        <v>43550</v>
      </c>
      <c r="E230" s="25">
        <v>18</v>
      </c>
      <c r="F230" s="25">
        <v>4</v>
      </c>
      <c r="G230" s="25">
        <v>0</v>
      </c>
      <c r="H230" s="25" t="s">
        <v>65</v>
      </c>
    </row>
    <row r="231" spans="1:8" ht="15.75" x14ac:dyDescent="0.25">
      <c r="A231" s="25" t="s">
        <v>299</v>
      </c>
      <c r="B231" s="25">
        <v>42</v>
      </c>
      <c r="C231" s="25" t="s">
        <v>70</v>
      </c>
      <c r="D231" s="26">
        <v>35702</v>
      </c>
      <c r="E231" s="25">
        <v>19</v>
      </c>
      <c r="F231" s="25">
        <v>2</v>
      </c>
      <c r="G231" s="25">
        <v>1</v>
      </c>
      <c r="H231" s="25" t="s">
        <v>65</v>
      </c>
    </row>
    <row r="232" spans="1:8" ht="15.75" x14ac:dyDescent="0.25">
      <c r="A232" s="25" t="s">
        <v>300</v>
      </c>
      <c r="B232" s="25">
        <v>28</v>
      </c>
      <c r="C232" s="25" t="s">
        <v>83</v>
      </c>
      <c r="D232" s="26">
        <v>108563</v>
      </c>
      <c r="E232" s="25">
        <v>16</v>
      </c>
      <c r="F232" s="25">
        <v>1</v>
      </c>
      <c r="G232" s="25">
        <v>1</v>
      </c>
      <c r="H232" s="25" t="s">
        <v>65</v>
      </c>
    </row>
    <row r="233" spans="1:8" ht="15.75" x14ac:dyDescent="0.25">
      <c r="A233" s="25" t="s">
        <v>301</v>
      </c>
      <c r="B233" s="25">
        <v>25</v>
      </c>
      <c r="C233" s="25" t="s">
        <v>83</v>
      </c>
      <c r="D233" s="26">
        <v>91745</v>
      </c>
      <c r="E233" s="25">
        <v>15</v>
      </c>
      <c r="F233" s="25">
        <v>1</v>
      </c>
      <c r="G233" s="25">
        <v>0</v>
      </c>
      <c r="H233" s="25" t="s">
        <v>68</v>
      </c>
    </row>
    <row r="234" spans="1:8" ht="15.75" x14ac:dyDescent="0.25">
      <c r="A234" s="25" t="s">
        <v>302</v>
      </c>
      <c r="B234" s="25">
        <v>29</v>
      </c>
      <c r="C234" s="25" t="s">
        <v>70</v>
      </c>
      <c r="D234" s="26">
        <v>54459</v>
      </c>
      <c r="E234" s="25">
        <v>9</v>
      </c>
      <c r="F234" s="25">
        <v>4</v>
      </c>
      <c r="G234" s="25">
        <v>0</v>
      </c>
      <c r="H234" s="25" t="s">
        <v>65</v>
      </c>
    </row>
    <row r="235" spans="1:8" ht="15.75" x14ac:dyDescent="0.25">
      <c r="A235" s="25" t="s">
        <v>303</v>
      </c>
      <c r="B235" s="25">
        <v>41</v>
      </c>
      <c r="C235" s="25" t="s">
        <v>67</v>
      </c>
      <c r="D235" s="26">
        <v>86782</v>
      </c>
      <c r="E235" s="25">
        <v>4</v>
      </c>
      <c r="F235" s="25">
        <v>2</v>
      </c>
      <c r="G235" s="25">
        <v>0</v>
      </c>
      <c r="H235" s="25" t="s">
        <v>65</v>
      </c>
    </row>
    <row r="236" spans="1:8" ht="15.75" x14ac:dyDescent="0.25">
      <c r="A236" s="25" t="s">
        <v>304</v>
      </c>
      <c r="B236" s="25">
        <v>48</v>
      </c>
      <c r="C236" s="25" t="s">
        <v>78</v>
      </c>
      <c r="D236" s="26">
        <v>117822</v>
      </c>
      <c r="E236" s="25">
        <v>13</v>
      </c>
      <c r="F236" s="25">
        <v>3</v>
      </c>
      <c r="G236" s="25">
        <v>0</v>
      </c>
      <c r="H236" s="25" t="s">
        <v>65</v>
      </c>
    </row>
    <row r="237" spans="1:8" ht="15.75" x14ac:dyDescent="0.25">
      <c r="A237" s="25" t="s">
        <v>305</v>
      </c>
      <c r="B237" s="25">
        <v>24</v>
      </c>
      <c r="C237" s="25" t="s">
        <v>67</v>
      </c>
      <c r="D237" s="26">
        <v>36032</v>
      </c>
      <c r="E237" s="25">
        <v>18</v>
      </c>
      <c r="F237" s="25">
        <v>2</v>
      </c>
      <c r="G237" s="25">
        <v>0</v>
      </c>
      <c r="H237" s="25" t="s">
        <v>65</v>
      </c>
    </row>
    <row r="238" spans="1:8" ht="15.75" x14ac:dyDescent="0.25">
      <c r="A238" s="25" t="s">
        <v>306</v>
      </c>
      <c r="B238" s="25">
        <v>44</v>
      </c>
      <c r="C238" s="25" t="s">
        <v>78</v>
      </c>
      <c r="D238" s="26">
        <v>31825</v>
      </c>
      <c r="E238" s="25">
        <v>3</v>
      </c>
      <c r="F238" s="25">
        <v>3</v>
      </c>
      <c r="G238" s="25">
        <v>0</v>
      </c>
      <c r="H238" s="25" t="s">
        <v>65</v>
      </c>
    </row>
    <row r="239" spans="1:8" ht="15.75" x14ac:dyDescent="0.25">
      <c r="A239" s="25" t="s">
        <v>307</v>
      </c>
      <c r="B239" s="25">
        <v>28</v>
      </c>
      <c r="C239" s="25" t="s">
        <v>70</v>
      </c>
      <c r="D239" s="26">
        <v>107090</v>
      </c>
      <c r="E239" s="25">
        <v>19</v>
      </c>
      <c r="F239" s="25">
        <v>4</v>
      </c>
      <c r="G239" s="25">
        <v>1</v>
      </c>
      <c r="H239" s="25" t="s">
        <v>65</v>
      </c>
    </row>
    <row r="240" spans="1:8" ht="15.75" x14ac:dyDescent="0.25">
      <c r="A240" s="25" t="s">
        <v>308</v>
      </c>
      <c r="B240" s="25">
        <v>37</v>
      </c>
      <c r="C240" s="25" t="s">
        <v>64</v>
      </c>
      <c r="D240" s="26">
        <v>78101</v>
      </c>
      <c r="E240" s="25">
        <v>15</v>
      </c>
      <c r="F240" s="25">
        <v>4</v>
      </c>
      <c r="G240" s="25">
        <v>1</v>
      </c>
      <c r="H240" s="25" t="s">
        <v>65</v>
      </c>
    </row>
    <row r="241" spans="1:8" ht="15.75" x14ac:dyDescent="0.25">
      <c r="A241" s="25" t="s">
        <v>309</v>
      </c>
      <c r="B241" s="25">
        <v>54</v>
      </c>
      <c r="C241" s="25" t="s">
        <v>78</v>
      </c>
      <c r="D241" s="26">
        <v>90109</v>
      </c>
      <c r="E241" s="25">
        <v>14</v>
      </c>
      <c r="F241" s="25">
        <v>1</v>
      </c>
      <c r="G241" s="25">
        <v>0</v>
      </c>
      <c r="H241" s="25" t="s">
        <v>65</v>
      </c>
    </row>
    <row r="242" spans="1:8" ht="15.75" x14ac:dyDescent="0.25">
      <c r="A242" s="25" t="s">
        <v>310</v>
      </c>
      <c r="B242" s="25">
        <v>40</v>
      </c>
      <c r="C242" s="25" t="s">
        <v>83</v>
      </c>
      <c r="D242" s="26">
        <v>42470</v>
      </c>
      <c r="E242" s="25">
        <v>8</v>
      </c>
      <c r="F242" s="25">
        <v>3</v>
      </c>
      <c r="G242" s="25">
        <v>0</v>
      </c>
      <c r="H242" s="25" t="s">
        <v>65</v>
      </c>
    </row>
    <row r="243" spans="1:8" ht="15.75" x14ac:dyDescent="0.25">
      <c r="A243" s="25" t="s">
        <v>311</v>
      </c>
      <c r="B243" s="25">
        <v>36</v>
      </c>
      <c r="C243" s="25" t="s">
        <v>83</v>
      </c>
      <c r="D243" s="26">
        <v>33770</v>
      </c>
      <c r="E243" s="25">
        <v>2</v>
      </c>
      <c r="F243" s="25">
        <v>2</v>
      </c>
      <c r="G243" s="25">
        <v>0</v>
      </c>
      <c r="H243" s="25" t="s">
        <v>65</v>
      </c>
    </row>
    <row r="244" spans="1:8" ht="15.75" x14ac:dyDescent="0.25">
      <c r="A244" s="25" t="s">
        <v>312</v>
      </c>
      <c r="B244" s="25">
        <v>30</v>
      </c>
      <c r="C244" s="25" t="s">
        <v>83</v>
      </c>
      <c r="D244" s="26">
        <v>57268</v>
      </c>
      <c r="E244" s="25">
        <v>8</v>
      </c>
      <c r="F244" s="25">
        <v>1</v>
      </c>
      <c r="G244" s="25">
        <v>1</v>
      </c>
      <c r="H244" s="25" t="s">
        <v>65</v>
      </c>
    </row>
    <row r="245" spans="1:8" ht="15.75" x14ac:dyDescent="0.25">
      <c r="A245" s="25" t="s">
        <v>313</v>
      </c>
      <c r="B245" s="25">
        <v>54</v>
      </c>
      <c r="C245" s="25" t="s">
        <v>67</v>
      </c>
      <c r="D245" s="26">
        <v>30029</v>
      </c>
      <c r="E245" s="25">
        <v>17</v>
      </c>
      <c r="F245" s="25">
        <v>4</v>
      </c>
      <c r="G245" s="25">
        <v>1</v>
      </c>
      <c r="H245" s="25" t="s">
        <v>65</v>
      </c>
    </row>
    <row r="246" spans="1:8" ht="15.75" x14ac:dyDescent="0.25">
      <c r="A246" s="25" t="s">
        <v>314</v>
      </c>
      <c r="B246" s="25">
        <v>30</v>
      </c>
      <c r="C246" s="25" t="s">
        <v>67</v>
      </c>
      <c r="D246" s="26">
        <v>60083</v>
      </c>
      <c r="E246" s="25">
        <v>3</v>
      </c>
      <c r="F246" s="25">
        <v>1</v>
      </c>
      <c r="G246" s="25">
        <v>0</v>
      </c>
      <c r="H246" s="25" t="s">
        <v>65</v>
      </c>
    </row>
    <row r="247" spans="1:8" ht="15.75" x14ac:dyDescent="0.25">
      <c r="A247" s="25" t="s">
        <v>315</v>
      </c>
      <c r="B247" s="25">
        <v>50</v>
      </c>
      <c r="C247" s="25" t="s">
        <v>67</v>
      </c>
      <c r="D247" s="26">
        <v>38958</v>
      </c>
      <c r="E247" s="25">
        <v>18</v>
      </c>
      <c r="F247" s="25">
        <v>2</v>
      </c>
      <c r="G247" s="25">
        <v>1</v>
      </c>
      <c r="H247" s="25" t="s">
        <v>65</v>
      </c>
    </row>
    <row r="248" spans="1:8" ht="15.75" x14ac:dyDescent="0.25">
      <c r="A248" s="25" t="s">
        <v>316</v>
      </c>
      <c r="B248" s="25">
        <v>50</v>
      </c>
      <c r="C248" s="25" t="s">
        <v>83</v>
      </c>
      <c r="D248" s="26">
        <v>38806</v>
      </c>
      <c r="E248" s="25">
        <v>3</v>
      </c>
      <c r="F248" s="25">
        <v>2</v>
      </c>
      <c r="G248" s="25">
        <v>1</v>
      </c>
      <c r="H248" s="25" t="s">
        <v>68</v>
      </c>
    </row>
    <row r="249" spans="1:8" ht="15.75" x14ac:dyDescent="0.25">
      <c r="A249" s="25" t="s">
        <v>317</v>
      </c>
      <c r="B249" s="25">
        <v>45</v>
      </c>
      <c r="C249" s="25" t="s">
        <v>78</v>
      </c>
      <c r="D249" s="26">
        <v>62162</v>
      </c>
      <c r="E249" s="25">
        <v>8</v>
      </c>
      <c r="F249" s="25">
        <v>4</v>
      </c>
      <c r="G249" s="25">
        <v>0</v>
      </c>
      <c r="H249" s="25" t="s">
        <v>65</v>
      </c>
    </row>
    <row r="250" spans="1:8" ht="15.75" x14ac:dyDescent="0.25">
      <c r="A250" s="25" t="s">
        <v>318</v>
      </c>
      <c r="B250" s="25">
        <v>27</v>
      </c>
      <c r="C250" s="25" t="s">
        <v>83</v>
      </c>
      <c r="D250" s="26">
        <v>104732</v>
      </c>
      <c r="E250" s="25">
        <v>0</v>
      </c>
      <c r="F250" s="25">
        <v>1</v>
      </c>
      <c r="G250" s="25">
        <v>0</v>
      </c>
      <c r="H250" s="25" t="s">
        <v>65</v>
      </c>
    </row>
    <row r="251" spans="1:8" ht="15.75" x14ac:dyDescent="0.25">
      <c r="A251" s="25" t="s">
        <v>319</v>
      </c>
      <c r="B251" s="25">
        <v>40</v>
      </c>
      <c r="C251" s="25" t="s">
        <v>78</v>
      </c>
      <c r="D251" s="26">
        <v>64889</v>
      </c>
      <c r="E251" s="25">
        <v>0</v>
      </c>
      <c r="F251" s="25">
        <v>3</v>
      </c>
      <c r="G251" s="25">
        <v>0</v>
      </c>
      <c r="H251" s="25" t="s">
        <v>65</v>
      </c>
    </row>
    <row r="252" spans="1:8" ht="15.75" x14ac:dyDescent="0.25">
      <c r="A252" s="25" t="s">
        <v>320</v>
      </c>
      <c r="B252" s="25">
        <v>37</v>
      </c>
      <c r="C252" s="25" t="s">
        <v>67</v>
      </c>
      <c r="D252" s="26">
        <v>57702</v>
      </c>
      <c r="E252" s="25">
        <v>19</v>
      </c>
      <c r="F252" s="25">
        <v>3</v>
      </c>
      <c r="G252" s="25">
        <v>0</v>
      </c>
      <c r="H252" s="25" t="s">
        <v>65</v>
      </c>
    </row>
    <row r="253" spans="1:8" ht="15.75" x14ac:dyDescent="0.25">
      <c r="A253" s="25" t="s">
        <v>321</v>
      </c>
      <c r="B253" s="25">
        <v>23</v>
      </c>
      <c r="C253" s="25" t="s">
        <v>64</v>
      </c>
      <c r="D253" s="26">
        <v>65777</v>
      </c>
      <c r="E253" s="25">
        <v>18</v>
      </c>
      <c r="F253" s="25">
        <v>3</v>
      </c>
      <c r="G253" s="25">
        <v>0</v>
      </c>
      <c r="H253" s="25" t="s">
        <v>65</v>
      </c>
    </row>
    <row r="254" spans="1:8" ht="15.75" x14ac:dyDescent="0.25">
      <c r="A254" s="25" t="s">
        <v>322</v>
      </c>
      <c r="B254" s="25">
        <v>56</v>
      </c>
      <c r="C254" s="25" t="s">
        <v>67</v>
      </c>
      <c r="D254" s="26">
        <v>82971</v>
      </c>
      <c r="E254" s="25">
        <v>2</v>
      </c>
      <c r="F254" s="25">
        <v>2</v>
      </c>
      <c r="G254" s="25">
        <v>0</v>
      </c>
      <c r="H254" s="25" t="s">
        <v>68</v>
      </c>
    </row>
    <row r="255" spans="1:8" ht="15.75" x14ac:dyDescent="0.25">
      <c r="A255" s="25" t="s">
        <v>323</v>
      </c>
      <c r="B255" s="25">
        <v>46</v>
      </c>
      <c r="C255" s="25" t="s">
        <v>70</v>
      </c>
      <c r="D255" s="26">
        <v>37739</v>
      </c>
      <c r="E255" s="25">
        <v>9</v>
      </c>
      <c r="F255" s="25">
        <v>1</v>
      </c>
      <c r="G255" s="25">
        <v>0</v>
      </c>
      <c r="H255" s="25" t="s">
        <v>65</v>
      </c>
    </row>
    <row r="256" spans="1:8" ht="15.75" x14ac:dyDescent="0.25">
      <c r="A256" s="25" t="s">
        <v>324</v>
      </c>
      <c r="B256" s="25">
        <v>30</v>
      </c>
      <c r="C256" s="25" t="s">
        <v>78</v>
      </c>
      <c r="D256" s="26">
        <v>54599</v>
      </c>
      <c r="E256" s="25">
        <v>11</v>
      </c>
      <c r="F256" s="25">
        <v>3</v>
      </c>
      <c r="G256" s="25">
        <v>1</v>
      </c>
      <c r="H256" s="25" t="s">
        <v>65</v>
      </c>
    </row>
    <row r="257" spans="1:8" ht="15.75" x14ac:dyDescent="0.25">
      <c r="A257" s="25" t="s">
        <v>325</v>
      </c>
      <c r="B257" s="25">
        <v>54</v>
      </c>
      <c r="C257" s="25" t="s">
        <v>64</v>
      </c>
      <c r="D257" s="26">
        <v>66827</v>
      </c>
      <c r="E257" s="25">
        <v>17</v>
      </c>
      <c r="F257" s="25">
        <v>1</v>
      </c>
      <c r="G257" s="25">
        <v>0</v>
      </c>
      <c r="H257" s="25" t="s">
        <v>65</v>
      </c>
    </row>
    <row r="258" spans="1:8" ht="15.75" x14ac:dyDescent="0.25">
      <c r="A258" s="25" t="s">
        <v>326</v>
      </c>
      <c r="B258" s="25">
        <v>34</v>
      </c>
      <c r="C258" s="25" t="s">
        <v>67</v>
      </c>
      <c r="D258" s="26">
        <v>106821</v>
      </c>
      <c r="E258" s="25">
        <v>13</v>
      </c>
      <c r="F258" s="25">
        <v>4</v>
      </c>
      <c r="G258" s="25">
        <v>0</v>
      </c>
      <c r="H258" s="25" t="s">
        <v>65</v>
      </c>
    </row>
    <row r="259" spans="1:8" ht="15.75" x14ac:dyDescent="0.25">
      <c r="A259" s="25" t="s">
        <v>327</v>
      </c>
      <c r="B259" s="25">
        <v>28</v>
      </c>
      <c r="C259" s="25" t="s">
        <v>64</v>
      </c>
      <c r="D259" s="26">
        <v>98446</v>
      </c>
      <c r="E259" s="25">
        <v>9</v>
      </c>
      <c r="F259" s="25">
        <v>3</v>
      </c>
      <c r="G259" s="25">
        <v>0</v>
      </c>
      <c r="H259" s="25" t="s">
        <v>65</v>
      </c>
    </row>
    <row r="260" spans="1:8" ht="15.75" x14ac:dyDescent="0.25">
      <c r="A260" s="25" t="s">
        <v>328</v>
      </c>
      <c r="B260" s="25">
        <v>47</v>
      </c>
      <c r="C260" s="25" t="s">
        <v>83</v>
      </c>
      <c r="D260" s="26">
        <v>110210</v>
      </c>
      <c r="E260" s="25">
        <v>9</v>
      </c>
      <c r="F260" s="25">
        <v>1</v>
      </c>
      <c r="G260" s="25">
        <v>0</v>
      </c>
      <c r="H260" s="25" t="s">
        <v>65</v>
      </c>
    </row>
    <row r="261" spans="1:8" ht="15.75" x14ac:dyDescent="0.25">
      <c r="A261" s="25" t="s">
        <v>329</v>
      </c>
      <c r="B261" s="25">
        <v>30</v>
      </c>
      <c r="C261" s="25" t="s">
        <v>78</v>
      </c>
      <c r="D261" s="26">
        <v>113890</v>
      </c>
      <c r="E261" s="25">
        <v>17</v>
      </c>
      <c r="F261" s="25">
        <v>2</v>
      </c>
      <c r="G261" s="25">
        <v>0</v>
      </c>
      <c r="H261" s="25" t="s">
        <v>65</v>
      </c>
    </row>
    <row r="262" spans="1:8" ht="15.75" x14ac:dyDescent="0.25">
      <c r="A262" s="25" t="s">
        <v>330</v>
      </c>
      <c r="B262" s="25">
        <v>35</v>
      </c>
      <c r="C262" s="25" t="s">
        <v>70</v>
      </c>
      <c r="D262" s="26">
        <v>53039</v>
      </c>
      <c r="E262" s="25">
        <v>0</v>
      </c>
      <c r="F262" s="25">
        <v>4</v>
      </c>
      <c r="G262" s="25">
        <v>0</v>
      </c>
      <c r="H262" s="25" t="s">
        <v>65</v>
      </c>
    </row>
    <row r="263" spans="1:8" ht="15.75" x14ac:dyDescent="0.25">
      <c r="A263" s="25" t="s">
        <v>331</v>
      </c>
      <c r="B263" s="25">
        <v>57</v>
      </c>
      <c r="C263" s="25" t="s">
        <v>83</v>
      </c>
      <c r="D263" s="26">
        <v>74929</v>
      </c>
      <c r="E263" s="25">
        <v>14</v>
      </c>
      <c r="F263" s="25">
        <v>4</v>
      </c>
      <c r="G263" s="25">
        <v>0</v>
      </c>
      <c r="H263" s="25" t="s">
        <v>65</v>
      </c>
    </row>
    <row r="264" spans="1:8" ht="15.75" x14ac:dyDescent="0.25">
      <c r="A264" s="25" t="s">
        <v>332</v>
      </c>
      <c r="B264" s="25">
        <v>42</v>
      </c>
      <c r="C264" s="25" t="s">
        <v>64</v>
      </c>
      <c r="D264" s="26">
        <v>73884</v>
      </c>
      <c r="E264" s="25">
        <v>7</v>
      </c>
      <c r="F264" s="25">
        <v>4</v>
      </c>
      <c r="G264" s="25">
        <v>1</v>
      </c>
      <c r="H264" s="25" t="s">
        <v>65</v>
      </c>
    </row>
    <row r="265" spans="1:8" ht="15.75" x14ac:dyDescent="0.25">
      <c r="A265" s="25" t="s">
        <v>333</v>
      </c>
      <c r="B265" s="25">
        <v>51</v>
      </c>
      <c r="C265" s="25" t="s">
        <v>67</v>
      </c>
      <c r="D265" s="26">
        <v>55146</v>
      </c>
      <c r="E265" s="25">
        <v>2</v>
      </c>
      <c r="F265" s="25">
        <v>4</v>
      </c>
      <c r="G265" s="25">
        <v>1</v>
      </c>
      <c r="H265" s="25" t="s">
        <v>65</v>
      </c>
    </row>
    <row r="266" spans="1:8" ht="15.75" x14ac:dyDescent="0.25">
      <c r="A266" s="25" t="s">
        <v>334</v>
      </c>
      <c r="B266" s="25">
        <v>22</v>
      </c>
      <c r="C266" s="25" t="s">
        <v>78</v>
      </c>
      <c r="D266" s="26">
        <v>75819</v>
      </c>
      <c r="E266" s="25">
        <v>17</v>
      </c>
      <c r="F266" s="25">
        <v>2</v>
      </c>
      <c r="G266" s="25">
        <v>1</v>
      </c>
      <c r="H266" s="25" t="s">
        <v>65</v>
      </c>
    </row>
    <row r="267" spans="1:8" ht="15.75" x14ac:dyDescent="0.25">
      <c r="A267" s="25" t="s">
        <v>335</v>
      </c>
      <c r="B267" s="25">
        <v>51</v>
      </c>
      <c r="C267" s="25" t="s">
        <v>70</v>
      </c>
      <c r="D267" s="26">
        <v>113162</v>
      </c>
      <c r="E267" s="25">
        <v>8</v>
      </c>
      <c r="F267" s="25">
        <v>2</v>
      </c>
      <c r="G267" s="25">
        <v>0</v>
      </c>
      <c r="H267" s="25" t="s">
        <v>65</v>
      </c>
    </row>
    <row r="268" spans="1:8" ht="15.75" x14ac:dyDescent="0.25">
      <c r="A268" s="25" t="s">
        <v>336</v>
      </c>
      <c r="B268" s="25">
        <v>34</v>
      </c>
      <c r="C268" s="25" t="s">
        <v>67</v>
      </c>
      <c r="D268" s="26">
        <v>112632</v>
      </c>
      <c r="E268" s="25">
        <v>15</v>
      </c>
      <c r="F268" s="25">
        <v>3</v>
      </c>
      <c r="G268" s="25">
        <v>0</v>
      </c>
      <c r="H268" s="25" t="s">
        <v>68</v>
      </c>
    </row>
    <row r="269" spans="1:8" ht="15.75" x14ac:dyDescent="0.25">
      <c r="A269" s="25" t="s">
        <v>337</v>
      </c>
      <c r="B269" s="25">
        <v>30</v>
      </c>
      <c r="C269" s="25" t="s">
        <v>70</v>
      </c>
      <c r="D269" s="26">
        <v>61308</v>
      </c>
      <c r="E269" s="25">
        <v>14</v>
      </c>
      <c r="F269" s="25">
        <v>2</v>
      </c>
      <c r="G269" s="25">
        <v>0</v>
      </c>
      <c r="H269" s="25" t="s">
        <v>65</v>
      </c>
    </row>
    <row r="270" spans="1:8" ht="15.75" x14ac:dyDescent="0.25">
      <c r="A270" s="25" t="s">
        <v>338</v>
      </c>
      <c r="B270" s="25">
        <v>50</v>
      </c>
      <c r="C270" s="25" t="s">
        <v>78</v>
      </c>
      <c r="D270" s="26">
        <v>43054</v>
      </c>
      <c r="E270" s="25">
        <v>4</v>
      </c>
      <c r="F270" s="25">
        <v>2</v>
      </c>
      <c r="G270" s="25">
        <v>1</v>
      </c>
      <c r="H270" s="25" t="s">
        <v>65</v>
      </c>
    </row>
    <row r="271" spans="1:8" ht="15.75" x14ac:dyDescent="0.25">
      <c r="A271" s="25" t="s">
        <v>339</v>
      </c>
      <c r="B271" s="25">
        <v>56</v>
      </c>
      <c r="C271" s="25" t="s">
        <v>64</v>
      </c>
      <c r="D271" s="26">
        <v>109606</v>
      </c>
      <c r="E271" s="25">
        <v>12</v>
      </c>
      <c r="F271" s="25">
        <v>4</v>
      </c>
      <c r="G271" s="25">
        <v>0</v>
      </c>
      <c r="H271" s="25" t="s">
        <v>65</v>
      </c>
    </row>
    <row r="272" spans="1:8" ht="15.75" x14ac:dyDescent="0.25">
      <c r="A272" s="25" t="s">
        <v>340</v>
      </c>
      <c r="B272" s="25">
        <v>35</v>
      </c>
      <c r="C272" s="25" t="s">
        <v>70</v>
      </c>
      <c r="D272" s="26">
        <v>82018</v>
      </c>
      <c r="E272" s="25">
        <v>19</v>
      </c>
      <c r="F272" s="25">
        <v>2</v>
      </c>
      <c r="G272" s="25">
        <v>1</v>
      </c>
      <c r="H272" s="25" t="s">
        <v>65</v>
      </c>
    </row>
    <row r="273" spans="1:8" ht="15.75" x14ac:dyDescent="0.25">
      <c r="A273" s="25" t="s">
        <v>341</v>
      </c>
      <c r="B273" s="25">
        <v>34</v>
      </c>
      <c r="C273" s="25" t="s">
        <v>78</v>
      </c>
      <c r="D273" s="26">
        <v>56250</v>
      </c>
      <c r="E273" s="25">
        <v>6</v>
      </c>
      <c r="F273" s="25">
        <v>4</v>
      </c>
      <c r="G273" s="25">
        <v>0</v>
      </c>
      <c r="H273" s="25" t="s">
        <v>65</v>
      </c>
    </row>
    <row r="274" spans="1:8" ht="15.75" x14ac:dyDescent="0.25">
      <c r="A274" s="25" t="s">
        <v>342</v>
      </c>
      <c r="B274" s="25">
        <v>51</v>
      </c>
      <c r="C274" s="25" t="s">
        <v>70</v>
      </c>
      <c r="D274" s="26">
        <v>44413</v>
      </c>
      <c r="E274" s="25">
        <v>15</v>
      </c>
      <c r="F274" s="25">
        <v>1</v>
      </c>
      <c r="G274" s="25">
        <v>1</v>
      </c>
      <c r="H274" s="25" t="s">
        <v>65</v>
      </c>
    </row>
    <row r="275" spans="1:8" ht="15.75" x14ac:dyDescent="0.25">
      <c r="A275" s="25" t="s">
        <v>343</v>
      </c>
      <c r="B275" s="25">
        <v>49</v>
      </c>
      <c r="C275" s="25" t="s">
        <v>67</v>
      </c>
      <c r="D275" s="26">
        <v>107391</v>
      </c>
      <c r="E275" s="25">
        <v>6</v>
      </c>
      <c r="F275" s="25">
        <v>1</v>
      </c>
      <c r="G275" s="25">
        <v>1</v>
      </c>
      <c r="H275" s="25" t="s">
        <v>65</v>
      </c>
    </row>
    <row r="276" spans="1:8" ht="15.75" x14ac:dyDescent="0.25">
      <c r="A276" s="25" t="s">
        <v>344</v>
      </c>
      <c r="B276" s="25">
        <v>47</v>
      </c>
      <c r="C276" s="25" t="s">
        <v>70</v>
      </c>
      <c r="D276" s="26">
        <v>68921</v>
      </c>
      <c r="E276" s="25">
        <v>15</v>
      </c>
      <c r="F276" s="25">
        <v>1</v>
      </c>
      <c r="G276" s="25">
        <v>0</v>
      </c>
      <c r="H276" s="25" t="s">
        <v>65</v>
      </c>
    </row>
    <row r="277" spans="1:8" ht="15.75" x14ac:dyDescent="0.25">
      <c r="A277" s="25" t="s">
        <v>345</v>
      </c>
      <c r="B277" s="25">
        <v>41</v>
      </c>
      <c r="C277" s="25" t="s">
        <v>67</v>
      </c>
      <c r="D277" s="26">
        <v>101123</v>
      </c>
      <c r="E277" s="25">
        <v>12</v>
      </c>
      <c r="F277" s="25">
        <v>1</v>
      </c>
      <c r="G277" s="25">
        <v>1</v>
      </c>
      <c r="H277" s="25" t="s">
        <v>65</v>
      </c>
    </row>
    <row r="278" spans="1:8" ht="15.75" x14ac:dyDescent="0.25">
      <c r="A278" s="25" t="s">
        <v>346</v>
      </c>
      <c r="B278" s="25">
        <v>29</v>
      </c>
      <c r="C278" s="25" t="s">
        <v>67</v>
      </c>
      <c r="D278" s="26">
        <v>104363</v>
      </c>
      <c r="E278" s="25">
        <v>16</v>
      </c>
      <c r="F278" s="25">
        <v>1</v>
      </c>
      <c r="G278" s="25">
        <v>0</v>
      </c>
      <c r="H278" s="25" t="s">
        <v>65</v>
      </c>
    </row>
    <row r="279" spans="1:8" ht="15.75" x14ac:dyDescent="0.25">
      <c r="A279" s="25" t="s">
        <v>347</v>
      </c>
      <c r="B279" s="25">
        <v>40</v>
      </c>
      <c r="C279" s="25" t="s">
        <v>78</v>
      </c>
      <c r="D279" s="26">
        <v>55785</v>
      </c>
      <c r="E279" s="25">
        <v>8</v>
      </c>
      <c r="F279" s="25">
        <v>1</v>
      </c>
      <c r="G279" s="25">
        <v>1</v>
      </c>
      <c r="H279" s="25" t="s">
        <v>68</v>
      </c>
    </row>
    <row r="280" spans="1:8" ht="15.75" x14ac:dyDescent="0.25">
      <c r="A280" s="25" t="s">
        <v>348</v>
      </c>
      <c r="B280" s="25">
        <v>55</v>
      </c>
      <c r="C280" s="25" t="s">
        <v>83</v>
      </c>
      <c r="D280" s="26">
        <v>86865</v>
      </c>
      <c r="E280" s="25">
        <v>11</v>
      </c>
      <c r="F280" s="25">
        <v>1</v>
      </c>
      <c r="G280" s="25">
        <v>1</v>
      </c>
      <c r="H280" s="25" t="s">
        <v>65</v>
      </c>
    </row>
    <row r="281" spans="1:8" ht="15.75" x14ac:dyDescent="0.25">
      <c r="A281" s="25" t="s">
        <v>349</v>
      </c>
      <c r="B281" s="25">
        <v>35</v>
      </c>
      <c r="C281" s="25" t="s">
        <v>70</v>
      </c>
      <c r="D281" s="26">
        <v>36861</v>
      </c>
      <c r="E281" s="25">
        <v>12</v>
      </c>
      <c r="F281" s="25">
        <v>4</v>
      </c>
      <c r="G281" s="25">
        <v>1</v>
      </c>
      <c r="H281" s="25" t="s">
        <v>68</v>
      </c>
    </row>
    <row r="282" spans="1:8" ht="15.75" x14ac:dyDescent="0.25">
      <c r="A282" s="25" t="s">
        <v>350</v>
      </c>
      <c r="B282" s="25">
        <v>44</v>
      </c>
      <c r="C282" s="25" t="s">
        <v>64</v>
      </c>
      <c r="D282" s="26">
        <v>106340</v>
      </c>
      <c r="E282" s="25">
        <v>8</v>
      </c>
      <c r="F282" s="25">
        <v>4</v>
      </c>
      <c r="G282" s="25">
        <v>0</v>
      </c>
      <c r="H282" s="25" t="s">
        <v>65</v>
      </c>
    </row>
    <row r="283" spans="1:8" ht="15.75" x14ac:dyDescent="0.25">
      <c r="A283" s="25" t="s">
        <v>351</v>
      </c>
      <c r="B283" s="25">
        <v>36</v>
      </c>
      <c r="C283" s="25" t="s">
        <v>67</v>
      </c>
      <c r="D283" s="26">
        <v>43979</v>
      </c>
      <c r="E283" s="25">
        <v>4</v>
      </c>
      <c r="F283" s="25">
        <v>4</v>
      </c>
      <c r="G283" s="25">
        <v>0</v>
      </c>
      <c r="H283" s="25" t="s">
        <v>68</v>
      </c>
    </row>
    <row r="284" spans="1:8" ht="15.75" x14ac:dyDescent="0.25">
      <c r="A284" s="25" t="s">
        <v>352</v>
      </c>
      <c r="B284" s="25">
        <v>56</v>
      </c>
      <c r="C284" s="25" t="s">
        <v>83</v>
      </c>
      <c r="D284" s="26">
        <v>96833</v>
      </c>
      <c r="E284" s="25">
        <v>6</v>
      </c>
      <c r="F284" s="25">
        <v>4</v>
      </c>
      <c r="G284" s="25">
        <v>1</v>
      </c>
      <c r="H284" s="25" t="s">
        <v>65</v>
      </c>
    </row>
    <row r="285" spans="1:8" ht="15.75" x14ac:dyDescent="0.25">
      <c r="A285" s="25" t="s">
        <v>353</v>
      </c>
      <c r="B285" s="25">
        <v>31</v>
      </c>
      <c r="C285" s="25" t="s">
        <v>67</v>
      </c>
      <c r="D285" s="26">
        <v>30357</v>
      </c>
      <c r="E285" s="25">
        <v>0</v>
      </c>
      <c r="F285" s="25">
        <v>2</v>
      </c>
      <c r="G285" s="25">
        <v>1</v>
      </c>
      <c r="H285" s="25" t="s">
        <v>65</v>
      </c>
    </row>
    <row r="286" spans="1:8" ht="15.75" x14ac:dyDescent="0.25">
      <c r="A286" s="25" t="s">
        <v>354</v>
      </c>
      <c r="B286" s="25">
        <v>28</v>
      </c>
      <c r="C286" s="25" t="s">
        <v>83</v>
      </c>
      <c r="D286" s="26">
        <v>77201</v>
      </c>
      <c r="E286" s="25">
        <v>3</v>
      </c>
      <c r="F286" s="25">
        <v>2</v>
      </c>
      <c r="G286" s="25">
        <v>0</v>
      </c>
      <c r="H286" s="25" t="s">
        <v>65</v>
      </c>
    </row>
    <row r="287" spans="1:8" ht="15.75" x14ac:dyDescent="0.25">
      <c r="A287" s="25" t="s">
        <v>355</v>
      </c>
      <c r="B287" s="25">
        <v>23</v>
      </c>
      <c r="C287" s="25" t="s">
        <v>83</v>
      </c>
      <c r="D287" s="26">
        <v>84254</v>
      </c>
      <c r="E287" s="25">
        <v>3</v>
      </c>
      <c r="F287" s="25">
        <v>3</v>
      </c>
      <c r="G287" s="25">
        <v>0</v>
      </c>
      <c r="H287" s="25" t="s">
        <v>65</v>
      </c>
    </row>
    <row r="288" spans="1:8" ht="15.75" x14ac:dyDescent="0.25">
      <c r="A288" s="25" t="s">
        <v>356</v>
      </c>
      <c r="B288" s="25">
        <v>39</v>
      </c>
      <c r="C288" s="25" t="s">
        <v>64</v>
      </c>
      <c r="D288" s="26">
        <v>112160</v>
      </c>
      <c r="E288" s="25">
        <v>15</v>
      </c>
      <c r="F288" s="25">
        <v>2</v>
      </c>
      <c r="G288" s="25">
        <v>0</v>
      </c>
      <c r="H288" s="25" t="s">
        <v>65</v>
      </c>
    </row>
    <row r="289" spans="1:8" ht="15.75" x14ac:dyDescent="0.25">
      <c r="A289" s="25" t="s">
        <v>357</v>
      </c>
      <c r="B289" s="25">
        <v>23</v>
      </c>
      <c r="C289" s="25" t="s">
        <v>83</v>
      </c>
      <c r="D289" s="26">
        <v>40796</v>
      </c>
      <c r="E289" s="25">
        <v>4</v>
      </c>
      <c r="F289" s="25">
        <v>4</v>
      </c>
      <c r="G289" s="25">
        <v>1</v>
      </c>
      <c r="H289" s="25" t="s">
        <v>65</v>
      </c>
    </row>
    <row r="290" spans="1:8" ht="15.75" x14ac:dyDescent="0.25">
      <c r="A290" s="25" t="s">
        <v>358</v>
      </c>
      <c r="B290" s="25">
        <v>56</v>
      </c>
      <c r="C290" s="25" t="s">
        <v>64</v>
      </c>
      <c r="D290" s="26">
        <v>53238</v>
      </c>
      <c r="E290" s="25">
        <v>3</v>
      </c>
      <c r="F290" s="25">
        <v>4</v>
      </c>
      <c r="G290" s="25">
        <v>1</v>
      </c>
      <c r="H290" s="25" t="s">
        <v>65</v>
      </c>
    </row>
    <row r="291" spans="1:8" ht="15.75" x14ac:dyDescent="0.25">
      <c r="A291" s="25" t="s">
        <v>359</v>
      </c>
      <c r="B291" s="25">
        <v>45</v>
      </c>
      <c r="C291" s="25" t="s">
        <v>78</v>
      </c>
      <c r="D291" s="26">
        <v>80978</v>
      </c>
      <c r="E291" s="25">
        <v>5</v>
      </c>
      <c r="F291" s="25">
        <v>1</v>
      </c>
      <c r="G291" s="25">
        <v>0</v>
      </c>
      <c r="H291" s="25" t="s">
        <v>65</v>
      </c>
    </row>
    <row r="292" spans="1:8" ht="15.75" x14ac:dyDescent="0.25">
      <c r="A292" s="25" t="s">
        <v>360</v>
      </c>
      <c r="B292" s="25">
        <v>56</v>
      </c>
      <c r="C292" s="25" t="s">
        <v>67</v>
      </c>
      <c r="D292" s="26">
        <v>70883</v>
      </c>
      <c r="E292" s="25">
        <v>2</v>
      </c>
      <c r="F292" s="25">
        <v>1</v>
      </c>
      <c r="G292" s="25">
        <v>0</v>
      </c>
      <c r="H292" s="25" t="s">
        <v>65</v>
      </c>
    </row>
    <row r="293" spans="1:8" ht="15.75" x14ac:dyDescent="0.25">
      <c r="A293" s="25" t="s">
        <v>361</v>
      </c>
      <c r="B293" s="25">
        <v>31</v>
      </c>
      <c r="C293" s="25" t="s">
        <v>64</v>
      </c>
      <c r="D293" s="26">
        <v>115478</v>
      </c>
      <c r="E293" s="25">
        <v>7</v>
      </c>
      <c r="F293" s="25">
        <v>3</v>
      </c>
      <c r="G293" s="25">
        <v>0</v>
      </c>
      <c r="H293" s="25" t="s">
        <v>68</v>
      </c>
    </row>
    <row r="294" spans="1:8" ht="15.75" x14ac:dyDescent="0.25">
      <c r="A294" s="25" t="s">
        <v>362</v>
      </c>
      <c r="B294" s="25">
        <v>36</v>
      </c>
      <c r="C294" s="25" t="s">
        <v>67</v>
      </c>
      <c r="D294" s="26">
        <v>99396</v>
      </c>
      <c r="E294" s="25">
        <v>16</v>
      </c>
      <c r="F294" s="25">
        <v>2</v>
      </c>
      <c r="G294" s="25">
        <v>0</v>
      </c>
      <c r="H294" s="25" t="s">
        <v>65</v>
      </c>
    </row>
    <row r="295" spans="1:8" ht="15.75" x14ac:dyDescent="0.25">
      <c r="A295" s="25" t="s">
        <v>363</v>
      </c>
      <c r="B295" s="25">
        <v>37</v>
      </c>
      <c r="C295" s="25" t="s">
        <v>70</v>
      </c>
      <c r="D295" s="26">
        <v>34447</v>
      </c>
      <c r="E295" s="25">
        <v>17</v>
      </c>
      <c r="F295" s="25">
        <v>4</v>
      </c>
      <c r="G295" s="25">
        <v>1</v>
      </c>
      <c r="H295" s="25" t="s">
        <v>65</v>
      </c>
    </row>
    <row r="296" spans="1:8" ht="15.75" x14ac:dyDescent="0.25">
      <c r="A296" s="25" t="s">
        <v>364</v>
      </c>
      <c r="B296" s="25">
        <v>44</v>
      </c>
      <c r="C296" s="25" t="s">
        <v>78</v>
      </c>
      <c r="D296" s="26">
        <v>50523</v>
      </c>
      <c r="E296" s="25">
        <v>17</v>
      </c>
      <c r="F296" s="25">
        <v>2</v>
      </c>
      <c r="G296" s="25">
        <v>0</v>
      </c>
      <c r="H296" s="25" t="s">
        <v>65</v>
      </c>
    </row>
    <row r="297" spans="1:8" ht="15.75" x14ac:dyDescent="0.25">
      <c r="A297" s="25" t="s">
        <v>365</v>
      </c>
      <c r="B297" s="25">
        <v>37</v>
      </c>
      <c r="C297" s="25" t="s">
        <v>70</v>
      </c>
      <c r="D297" s="26">
        <v>94079</v>
      </c>
      <c r="E297" s="25">
        <v>11</v>
      </c>
      <c r="F297" s="25">
        <v>3</v>
      </c>
      <c r="G297" s="25">
        <v>0</v>
      </c>
      <c r="H297" s="25" t="s">
        <v>65</v>
      </c>
    </row>
    <row r="298" spans="1:8" ht="15.75" x14ac:dyDescent="0.25">
      <c r="A298" s="25" t="s">
        <v>366</v>
      </c>
      <c r="B298" s="25">
        <v>40</v>
      </c>
      <c r="C298" s="25" t="s">
        <v>70</v>
      </c>
      <c r="D298" s="26">
        <v>94823</v>
      </c>
      <c r="E298" s="25">
        <v>0</v>
      </c>
      <c r="F298" s="25">
        <v>1</v>
      </c>
      <c r="G298" s="25">
        <v>1</v>
      </c>
      <c r="H298" s="25" t="s">
        <v>65</v>
      </c>
    </row>
    <row r="299" spans="1:8" ht="15.75" x14ac:dyDescent="0.25">
      <c r="A299" s="25" t="s">
        <v>367</v>
      </c>
      <c r="B299" s="25">
        <v>42</v>
      </c>
      <c r="C299" s="25" t="s">
        <v>83</v>
      </c>
      <c r="D299" s="26">
        <v>79289</v>
      </c>
      <c r="E299" s="25">
        <v>11</v>
      </c>
      <c r="F299" s="25">
        <v>4</v>
      </c>
      <c r="G299" s="25">
        <v>0</v>
      </c>
      <c r="H299" s="25" t="s">
        <v>65</v>
      </c>
    </row>
    <row r="300" spans="1:8" ht="15.75" x14ac:dyDescent="0.25">
      <c r="A300" s="25" t="s">
        <v>368</v>
      </c>
      <c r="B300" s="25">
        <v>26</v>
      </c>
      <c r="C300" s="25" t="s">
        <v>83</v>
      </c>
      <c r="D300" s="26">
        <v>34849</v>
      </c>
      <c r="E300" s="25">
        <v>10</v>
      </c>
      <c r="F300" s="25">
        <v>1</v>
      </c>
      <c r="G300" s="25">
        <v>0</v>
      </c>
      <c r="H300" s="25" t="s">
        <v>65</v>
      </c>
    </row>
    <row r="301" spans="1:8" ht="15.75" x14ac:dyDescent="0.25">
      <c r="A301" s="25" t="s">
        <v>369</v>
      </c>
      <c r="B301" s="25">
        <v>27</v>
      </c>
      <c r="C301" s="25" t="s">
        <v>70</v>
      </c>
      <c r="D301" s="26">
        <v>54718</v>
      </c>
      <c r="E301" s="25">
        <v>12</v>
      </c>
      <c r="F301" s="25">
        <v>4</v>
      </c>
      <c r="G301" s="25">
        <v>1</v>
      </c>
      <c r="H301" s="25" t="s">
        <v>65</v>
      </c>
    </row>
    <row r="302" spans="1:8" ht="15.75" x14ac:dyDescent="0.25">
      <c r="A302" s="25" t="s">
        <v>370</v>
      </c>
      <c r="B302" s="25">
        <v>34</v>
      </c>
      <c r="C302" s="25" t="s">
        <v>83</v>
      </c>
      <c r="D302" s="26">
        <v>117862</v>
      </c>
      <c r="E302" s="25">
        <v>2</v>
      </c>
      <c r="F302" s="25">
        <v>1</v>
      </c>
      <c r="G302" s="25">
        <v>0</v>
      </c>
      <c r="H302" s="25" t="s">
        <v>65</v>
      </c>
    </row>
    <row r="303" spans="1:8" ht="15.75" x14ac:dyDescent="0.25">
      <c r="A303" s="25" t="s">
        <v>371</v>
      </c>
      <c r="B303" s="25">
        <v>31</v>
      </c>
      <c r="C303" s="25" t="s">
        <v>67</v>
      </c>
      <c r="D303" s="26">
        <v>103002</v>
      </c>
      <c r="E303" s="25">
        <v>7</v>
      </c>
      <c r="F303" s="25">
        <v>1</v>
      </c>
      <c r="G303" s="25">
        <v>1</v>
      </c>
      <c r="H303" s="25" t="s">
        <v>65</v>
      </c>
    </row>
    <row r="304" spans="1:8" ht="15.75" x14ac:dyDescent="0.25">
      <c r="A304" s="25" t="s">
        <v>372</v>
      </c>
      <c r="B304" s="25">
        <v>32</v>
      </c>
      <c r="C304" s="25" t="s">
        <v>83</v>
      </c>
      <c r="D304" s="26">
        <v>90977</v>
      </c>
      <c r="E304" s="25">
        <v>2</v>
      </c>
      <c r="F304" s="25">
        <v>3</v>
      </c>
      <c r="G304" s="25">
        <v>0</v>
      </c>
      <c r="H304" s="25" t="s">
        <v>65</v>
      </c>
    </row>
    <row r="305" spans="1:8" ht="15.75" x14ac:dyDescent="0.25">
      <c r="A305" s="25" t="s">
        <v>373</v>
      </c>
      <c r="B305" s="25">
        <v>25</v>
      </c>
      <c r="C305" s="25" t="s">
        <v>70</v>
      </c>
      <c r="D305" s="26">
        <v>118325</v>
      </c>
      <c r="E305" s="25">
        <v>16</v>
      </c>
      <c r="F305" s="25">
        <v>2</v>
      </c>
      <c r="G305" s="25">
        <v>1</v>
      </c>
      <c r="H305" s="25" t="s">
        <v>68</v>
      </c>
    </row>
    <row r="306" spans="1:8" ht="15.75" x14ac:dyDescent="0.25">
      <c r="A306" s="25" t="s">
        <v>374</v>
      </c>
      <c r="B306" s="25">
        <v>25</v>
      </c>
      <c r="C306" s="25" t="s">
        <v>83</v>
      </c>
      <c r="D306" s="26">
        <v>57135</v>
      </c>
      <c r="E306" s="25">
        <v>12</v>
      </c>
      <c r="F306" s="25">
        <v>1</v>
      </c>
      <c r="G306" s="25">
        <v>0</v>
      </c>
      <c r="H306" s="25" t="s">
        <v>65</v>
      </c>
    </row>
    <row r="307" spans="1:8" ht="15.75" x14ac:dyDescent="0.25">
      <c r="A307" s="25" t="s">
        <v>375</v>
      </c>
      <c r="B307" s="25">
        <v>40</v>
      </c>
      <c r="C307" s="25" t="s">
        <v>83</v>
      </c>
      <c r="D307" s="26">
        <v>60262</v>
      </c>
      <c r="E307" s="25">
        <v>9</v>
      </c>
      <c r="F307" s="25">
        <v>4</v>
      </c>
      <c r="G307" s="25">
        <v>0</v>
      </c>
      <c r="H307" s="25" t="s">
        <v>65</v>
      </c>
    </row>
    <row r="308" spans="1:8" ht="15.75" x14ac:dyDescent="0.25">
      <c r="A308" s="25" t="s">
        <v>376</v>
      </c>
      <c r="B308" s="25">
        <v>35</v>
      </c>
      <c r="C308" s="25" t="s">
        <v>64</v>
      </c>
      <c r="D308" s="26">
        <v>119971</v>
      </c>
      <c r="E308" s="25">
        <v>16</v>
      </c>
      <c r="F308" s="25">
        <v>2</v>
      </c>
      <c r="G308" s="25">
        <v>0</v>
      </c>
      <c r="H308" s="25" t="s">
        <v>65</v>
      </c>
    </row>
    <row r="309" spans="1:8" ht="15.75" x14ac:dyDescent="0.25">
      <c r="A309" s="25" t="s">
        <v>377</v>
      </c>
      <c r="B309" s="25">
        <v>46</v>
      </c>
      <c r="C309" s="25" t="s">
        <v>64</v>
      </c>
      <c r="D309" s="26">
        <v>64787</v>
      </c>
      <c r="E309" s="25">
        <v>2</v>
      </c>
      <c r="F309" s="25">
        <v>2</v>
      </c>
      <c r="G309" s="25">
        <v>1</v>
      </c>
      <c r="H309" s="25" t="s">
        <v>65</v>
      </c>
    </row>
    <row r="310" spans="1:8" ht="15.75" x14ac:dyDescent="0.25">
      <c r="A310" s="25" t="s">
        <v>378</v>
      </c>
      <c r="B310" s="25">
        <v>53</v>
      </c>
      <c r="C310" s="25" t="s">
        <v>70</v>
      </c>
      <c r="D310" s="26">
        <v>45689</v>
      </c>
      <c r="E310" s="25">
        <v>12</v>
      </c>
      <c r="F310" s="25">
        <v>1</v>
      </c>
      <c r="G310" s="25">
        <v>1</v>
      </c>
      <c r="H310" s="25" t="s">
        <v>68</v>
      </c>
    </row>
    <row r="311" spans="1:8" ht="15.75" x14ac:dyDescent="0.25">
      <c r="A311" s="25" t="s">
        <v>379</v>
      </c>
      <c r="B311" s="25">
        <v>50</v>
      </c>
      <c r="C311" s="25" t="s">
        <v>67</v>
      </c>
      <c r="D311" s="26">
        <v>69860</v>
      </c>
      <c r="E311" s="25">
        <v>5</v>
      </c>
      <c r="F311" s="25">
        <v>1</v>
      </c>
      <c r="G311" s="25">
        <v>0</v>
      </c>
      <c r="H311" s="25" t="s">
        <v>65</v>
      </c>
    </row>
    <row r="312" spans="1:8" ht="15.75" x14ac:dyDescent="0.25">
      <c r="A312" s="25" t="s">
        <v>380</v>
      </c>
      <c r="B312" s="25">
        <v>44</v>
      </c>
      <c r="C312" s="25" t="s">
        <v>78</v>
      </c>
      <c r="D312" s="26">
        <v>80344</v>
      </c>
      <c r="E312" s="25">
        <v>13</v>
      </c>
      <c r="F312" s="25">
        <v>1</v>
      </c>
      <c r="G312" s="25">
        <v>0</v>
      </c>
      <c r="H312" s="25" t="s">
        <v>65</v>
      </c>
    </row>
    <row r="313" spans="1:8" ht="15.75" x14ac:dyDescent="0.25">
      <c r="A313" s="25" t="s">
        <v>381</v>
      </c>
      <c r="B313" s="25">
        <v>43</v>
      </c>
      <c r="C313" s="25" t="s">
        <v>78</v>
      </c>
      <c r="D313" s="26">
        <v>97891</v>
      </c>
      <c r="E313" s="25">
        <v>9</v>
      </c>
      <c r="F313" s="25">
        <v>2</v>
      </c>
      <c r="G313" s="25">
        <v>0</v>
      </c>
      <c r="H313" s="25" t="s">
        <v>65</v>
      </c>
    </row>
    <row r="314" spans="1:8" ht="15.75" x14ac:dyDescent="0.25">
      <c r="A314" s="25" t="s">
        <v>382</v>
      </c>
      <c r="B314" s="25">
        <v>29</v>
      </c>
      <c r="C314" s="25" t="s">
        <v>70</v>
      </c>
      <c r="D314" s="26">
        <v>81658</v>
      </c>
      <c r="E314" s="25">
        <v>19</v>
      </c>
      <c r="F314" s="25">
        <v>3</v>
      </c>
      <c r="G314" s="25">
        <v>0</v>
      </c>
      <c r="H314" s="25" t="s">
        <v>65</v>
      </c>
    </row>
    <row r="315" spans="1:8" ht="15.75" x14ac:dyDescent="0.25">
      <c r="A315" s="25" t="s">
        <v>383</v>
      </c>
      <c r="B315" s="25">
        <v>23</v>
      </c>
      <c r="C315" s="25" t="s">
        <v>67</v>
      </c>
      <c r="D315" s="26">
        <v>95869</v>
      </c>
      <c r="E315" s="25">
        <v>15</v>
      </c>
      <c r="F315" s="25">
        <v>1</v>
      </c>
      <c r="G315" s="25">
        <v>1</v>
      </c>
      <c r="H315" s="25" t="s">
        <v>65</v>
      </c>
    </row>
    <row r="316" spans="1:8" ht="15.75" x14ac:dyDescent="0.25">
      <c r="A316" s="25" t="s">
        <v>384</v>
      </c>
      <c r="B316" s="25">
        <v>56</v>
      </c>
      <c r="C316" s="25" t="s">
        <v>67</v>
      </c>
      <c r="D316" s="26">
        <v>65330</v>
      </c>
      <c r="E316" s="25">
        <v>17</v>
      </c>
      <c r="F316" s="25">
        <v>2</v>
      </c>
      <c r="G316" s="25">
        <v>0</v>
      </c>
      <c r="H316" s="25" t="s">
        <v>68</v>
      </c>
    </row>
    <row r="317" spans="1:8" ht="15.75" x14ac:dyDescent="0.25">
      <c r="A317" s="25" t="s">
        <v>385</v>
      </c>
      <c r="B317" s="25">
        <v>27</v>
      </c>
      <c r="C317" s="25" t="s">
        <v>67</v>
      </c>
      <c r="D317" s="26">
        <v>110312</v>
      </c>
      <c r="E317" s="25">
        <v>12</v>
      </c>
      <c r="F317" s="25">
        <v>2</v>
      </c>
      <c r="G317" s="25">
        <v>1</v>
      </c>
      <c r="H317" s="25" t="s">
        <v>65</v>
      </c>
    </row>
    <row r="318" spans="1:8" ht="15.75" x14ac:dyDescent="0.25">
      <c r="A318" s="25" t="s">
        <v>386</v>
      </c>
      <c r="B318" s="25">
        <v>42</v>
      </c>
      <c r="C318" s="25" t="s">
        <v>64</v>
      </c>
      <c r="D318" s="26">
        <v>90064</v>
      </c>
      <c r="E318" s="25">
        <v>9</v>
      </c>
      <c r="F318" s="25">
        <v>4</v>
      </c>
      <c r="G318" s="25">
        <v>1</v>
      </c>
      <c r="H318" s="25" t="s">
        <v>65</v>
      </c>
    </row>
    <row r="319" spans="1:8" ht="15.75" x14ac:dyDescent="0.25">
      <c r="A319" s="25" t="s">
        <v>387</v>
      </c>
      <c r="B319" s="25">
        <v>34</v>
      </c>
      <c r="C319" s="25" t="s">
        <v>70</v>
      </c>
      <c r="D319" s="26">
        <v>57014</v>
      </c>
      <c r="E319" s="25">
        <v>5</v>
      </c>
      <c r="F319" s="25">
        <v>1</v>
      </c>
      <c r="G319" s="25">
        <v>0</v>
      </c>
      <c r="H319" s="25" t="s">
        <v>65</v>
      </c>
    </row>
    <row r="320" spans="1:8" ht="15.75" x14ac:dyDescent="0.25">
      <c r="A320" s="25" t="s">
        <v>388</v>
      </c>
      <c r="B320" s="25">
        <v>49</v>
      </c>
      <c r="C320" s="25" t="s">
        <v>78</v>
      </c>
      <c r="D320" s="26">
        <v>64563</v>
      </c>
      <c r="E320" s="25">
        <v>9</v>
      </c>
      <c r="F320" s="25">
        <v>3</v>
      </c>
      <c r="G320" s="25">
        <v>1</v>
      </c>
      <c r="H320" s="25" t="s">
        <v>68</v>
      </c>
    </row>
    <row r="321" spans="1:8" ht="15.75" x14ac:dyDescent="0.25">
      <c r="A321" s="25" t="s">
        <v>389</v>
      </c>
      <c r="B321" s="25">
        <v>36</v>
      </c>
      <c r="C321" s="25" t="s">
        <v>67</v>
      </c>
      <c r="D321" s="26">
        <v>45270</v>
      </c>
      <c r="E321" s="25">
        <v>4</v>
      </c>
      <c r="F321" s="25">
        <v>4</v>
      </c>
      <c r="G321" s="25">
        <v>0</v>
      </c>
      <c r="H321" s="25" t="s">
        <v>65</v>
      </c>
    </row>
    <row r="322" spans="1:8" ht="15.75" x14ac:dyDescent="0.25">
      <c r="A322" s="25" t="s">
        <v>390</v>
      </c>
      <c r="B322" s="25">
        <v>54</v>
      </c>
      <c r="C322" s="25" t="s">
        <v>70</v>
      </c>
      <c r="D322" s="26">
        <v>61279</v>
      </c>
      <c r="E322" s="25">
        <v>5</v>
      </c>
      <c r="F322" s="25">
        <v>1</v>
      </c>
      <c r="G322" s="25">
        <v>0</v>
      </c>
      <c r="H322" s="25" t="s">
        <v>65</v>
      </c>
    </row>
    <row r="323" spans="1:8" ht="15.75" x14ac:dyDescent="0.25">
      <c r="A323" s="25" t="s">
        <v>391</v>
      </c>
      <c r="B323" s="25">
        <v>30</v>
      </c>
      <c r="C323" s="25" t="s">
        <v>78</v>
      </c>
      <c r="D323" s="26">
        <v>33657</v>
      </c>
      <c r="E323" s="25">
        <v>6</v>
      </c>
      <c r="F323" s="25">
        <v>4</v>
      </c>
      <c r="G323" s="25">
        <v>1</v>
      </c>
      <c r="H323" s="25" t="s">
        <v>65</v>
      </c>
    </row>
    <row r="324" spans="1:8" ht="15.75" x14ac:dyDescent="0.25">
      <c r="A324" s="25" t="s">
        <v>392</v>
      </c>
      <c r="B324" s="25">
        <v>27</v>
      </c>
      <c r="C324" s="25" t="s">
        <v>64</v>
      </c>
      <c r="D324" s="26">
        <v>119422</v>
      </c>
      <c r="E324" s="25">
        <v>10</v>
      </c>
      <c r="F324" s="25">
        <v>1</v>
      </c>
      <c r="G324" s="25">
        <v>0</v>
      </c>
      <c r="H324" s="25" t="s">
        <v>65</v>
      </c>
    </row>
    <row r="325" spans="1:8" ht="15.75" x14ac:dyDescent="0.25">
      <c r="A325" s="25" t="s">
        <v>393</v>
      </c>
      <c r="B325" s="25">
        <v>45</v>
      </c>
      <c r="C325" s="25" t="s">
        <v>83</v>
      </c>
      <c r="D325" s="26">
        <v>98773</v>
      </c>
      <c r="E325" s="25">
        <v>15</v>
      </c>
      <c r="F325" s="25">
        <v>4</v>
      </c>
      <c r="G325" s="25">
        <v>0</v>
      </c>
      <c r="H325" s="25" t="s">
        <v>65</v>
      </c>
    </row>
    <row r="326" spans="1:8" ht="15.75" x14ac:dyDescent="0.25">
      <c r="A326" s="25" t="s">
        <v>394</v>
      </c>
      <c r="B326" s="25">
        <v>47</v>
      </c>
      <c r="C326" s="25" t="s">
        <v>78</v>
      </c>
      <c r="D326" s="26">
        <v>31027</v>
      </c>
      <c r="E326" s="25">
        <v>11</v>
      </c>
      <c r="F326" s="25">
        <v>3</v>
      </c>
      <c r="G326" s="25">
        <v>1</v>
      </c>
      <c r="H326" s="25" t="s">
        <v>68</v>
      </c>
    </row>
    <row r="327" spans="1:8" ht="15.75" x14ac:dyDescent="0.25">
      <c r="A327" s="25" t="s">
        <v>395</v>
      </c>
      <c r="B327" s="25">
        <v>35</v>
      </c>
      <c r="C327" s="25" t="s">
        <v>78</v>
      </c>
      <c r="D327" s="26">
        <v>44199</v>
      </c>
      <c r="E327" s="25">
        <v>11</v>
      </c>
      <c r="F327" s="25">
        <v>4</v>
      </c>
      <c r="G327" s="25">
        <v>0</v>
      </c>
      <c r="H327" s="25" t="s">
        <v>68</v>
      </c>
    </row>
    <row r="328" spans="1:8" ht="15.75" x14ac:dyDescent="0.25">
      <c r="A328" s="25" t="s">
        <v>396</v>
      </c>
      <c r="B328" s="25">
        <v>52</v>
      </c>
      <c r="C328" s="25" t="s">
        <v>78</v>
      </c>
      <c r="D328" s="26">
        <v>74954</v>
      </c>
      <c r="E328" s="25">
        <v>19</v>
      </c>
      <c r="F328" s="25">
        <v>4</v>
      </c>
      <c r="G328" s="25">
        <v>0</v>
      </c>
      <c r="H328" s="25" t="s">
        <v>65</v>
      </c>
    </row>
    <row r="329" spans="1:8" ht="15.75" x14ac:dyDescent="0.25">
      <c r="A329" s="25" t="s">
        <v>397</v>
      </c>
      <c r="B329" s="25">
        <v>48</v>
      </c>
      <c r="C329" s="25" t="s">
        <v>83</v>
      </c>
      <c r="D329" s="26">
        <v>109317</v>
      </c>
      <c r="E329" s="25">
        <v>4</v>
      </c>
      <c r="F329" s="25">
        <v>4</v>
      </c>
      <c r="G329" s="25">
        <v>1</v>
      </c>
      <c r="H329" s="25" t="s">
        <v>65</v>
      </c>
    </row>
    <row r="330" spans="1:8" ht="15.75" x14ac:dyDescent="0.25">
      <c r="A330" s="25" t="s">
        <v>398</v>
      </c>
      <c r="B330" s="25">
        <v>29</v>
      </c>
      <c r="C330" s="25" t="s">
        <v>67</v>
      </c>
      <c r="D330" s="26">
        <v>45120</v>
      </c>
      <c r="E330" s="25">
        <v>15</v>
      </c>
      <c r="F330" s="25">
        <v>1</v>
      </c>
      <c r="G330" s="25">
        <v>0</v>
      </c>
      <c r="H330" s="25" t="s">
        <v>65</v>
      </c>
    </row>
    <row r="331" spans="1:8" ht="15.75" x14ac:dyDescent="0.25">
      <c r="A331" s="25" t="s">
        <v>399</v>
      </c>
      <c r="B331" s="25">
        <v>27</v>
      </c>
      <c r="C331" s="25" t="s">
        <v>83</v>
      </c>
      <c r="D331" s="26">
        <v>86812</v>
      </c>
      <c r="E331" s="25">
        <v>5</v>
      </c>
      <c r="F331" s="25">
        <v>1</v>
      </c>
      <c r="G331" s="25">
        <v>1</v>
      </c>
      <c r="H331" s="25" t="s">
        <v>68</v>
      </c>
    </row>
    <row r="332" spans="1:8" ht="15.75" x14ac:dyDescent="0.25">
      <c r="A332" s="25" t="s">
        <v>400</v>
      </c>
      <c r="B332" s="25">
        <v>36</v>
      </c>
      <c r="C332" s="25" t="s">
        <v>78</v>
      </c>
      <c r="D332" s="26">
        <v>119825</v>
      </c>
      <c r="E332" s="25">
        <v>8</v>
      </c>
      <c r="F332" s="25">
        <v>3</v>
      </c>
      <c r="G332" s="25">
        <v>0</v>
      </c>
      <c r="H332" s="25" t="s">
        <v>68</v>
      </c>
    </row>
    <row r="333" spans="1:8" ht="15.75" x14ac:dyDescent="0.25">
      <c r="A333" s="25" t="s">
        <v>401</v>
      </c>
      <c r="B333" s="25">
        <v>46</v>
      </c>
      <c r="C333" s="25" t="s">
        <v>64</v>
      </c>
      <c r="D333" s="26">
        <v>35983</v>
      </c>
      <c r="E333" s="25">
        <v>4</v>
      </c>
      <c r="F333" s="25">
        <v>4</v>
      </c>
      <c r="G333" s="25">
        <v>0</v>
      </c>
      <c r="H333" s="25" t="s">
        <v>68</v>
      </c>
    </row>
    <row r="334" spans="1:8" ht="15.75" x14ac:dyDescent="0.25">
      <c r="A334" s="25" t="s">
        <v>402</v>
      </c>
      <c r="B334" s="25">
        <v>55</v>
      </c>
      <c r="C334" s="25" t="s">
        <v>78</v>
      </c>
      <c r="D334" s="26">
        <v>96629</v>
      </c>
      <c r="E334" s="25">
        <v>15</v>
      </c>
      <c r="F334" s="25">
        <v>2</v>
      </c>
      <c r="G334" s="25">
        <v>1</v>
      </c>
      <c r="H334" s="25" t="s">
        <v>65</v>
      </c>
    </row>
    <row r="335" spans="1:8" ht="15.75" x14ac:dyDescent="0.25">
      <c r="A335" s="25" t="s">
        <v>403</v>
      </c>
      <c r="B335" s="25">
        <v>37</v>
      </c>
      <c r="C335" s="25" t="s">
        <v>64</v>
      </c>
      <c r="D335" s="26">
        <v>100325</v>
      </c>
      <c r="E335" s="25">
        <v>17</v>
      </c>
      <c r="F335" s="25">
        <v>4</v>
      </c>
      <c r="G335" s="25">
        <v>0</v>
      </c>
      <c r="H335" s="25" t="s">
        <v>68</v>
      </c>
    </row>
    <row r="336" spans="1:8" ht="15.75" x14ac:dyDescent="0.25">
      <c r="A336" s="25" t="s">
        <v>404</v>
      </c>
      <c r="B336" s="25">
        <v>43</v>
      </c>
      <c r="C336" s="25" t="s">
        <v>70</v>
      </c>
      <c r="D336" s="26">
        <v>32912</v>
      </c>
      <c r="E336" s="25">
        <v>18</v>
      </c>
      <c r="F336" s="25">
        <v>2</v>
      </c>
      <c r="G336" s="25">
        <v>1</v>
      </c>
      <c r="H336" s="25" t="s">
        <v>65</v>
      </c>
    </row>
    <row r="337" spans="1:8" ht="15.75" x14ac:dyDescent="0.25">
      <c r="A337" s="25" t="s">
        <v>405</v>
      </c>
      <c r="B337" s="25">
        <v>28</v>
      </c>
      <c r="C337" s="25" t="s">
        <v>64</v>
      </c>
      <c r="D337" s="26">
        <v>77879</v>
      </c>
      <c r="E337" s="25">
        <v>11</v>
      </c>
      <c r="F337" s="25">
        <v>2</v>
      </c>
      <c r="G337" s="25">
        <v>1</v>
      </c>
      <c r="H337" s="25" t="s">
        <v>65</v>
      </c>
    </row>
    <row r="338" spans="1:8" ht="15.75" x14ac:dyDescent="0.25">
      <c r="A338" s="25" t="s">
        <v>406</v>
      </c>
      <c r="B338" s="25">
        <v>22</v>
      </c>
      <c r="C338" s="25" t="s">
        <v>78</v>
      </c>
      <c r="D338" s="26">
        <v>51873</v>
      </c>
      <c r="E338" s="25">
        <v>1</v>
      </c>
      <c r="F338" s="25">
        <v>4</v>
      </c>
      <c r="G338" s="25">
        <v>1</v>
      </c>
      <c r="H338" s="25" t="s">
        <v>68</v>
      </c>
    </row>
    <row r="339" spans="1:8" ht="15.75" x14ac:dyDescent="0.25">
      <c r="A339" s="25" t="s">
        <v>407</v>
      </c>
      <c r="B339" s="25">
        <v>51</v>
      </c>
      <c r="C339" s="25" t="s">
        <v>83</v>
      </c>
      <c r="D339" s="26">
        <v>44332</v>
      </c>
      <c r="E339" s="25">
        <v>9</v>
      </c>
      <c r="F339" s="25">
        <v>2</v>
      </c>
      <c r="G339" s="25">
        <v>0</v>
      </c>
      <c r="H339" s="25" t="s">
        <v>68</v>
      </c>
    </row>
    <row r="340" spans="1:8" ht="15.75" x14ac:dyDescent="0.25">
      <c r="A340" s="25" t="s">
        <v>408</v>
      </c>
      <c r="B340" s="25">
        <v>52</v>
      </c>
      <c r="C340" s="25" t="s">
        <v>78</v>
      </c>
      <c r="D340" s="26">
        <v>46564</v>
      </c>
      <c r="E340" s="25">
        <v>11</v>
      </c>
      <c r="F340" s="25">
        <v>2</v>
      </c>
      <c r="G340" s="25">
        <v>0</v>
      </c>
      <c r="H340" s="25" t="s">
        <v>65</v>
      </c>
    </row>
    <row r="341" spans="1:8" ht="15.75" x14ac:dyDescent="0.25">
      <c r="A341" s="25" t="s">
        <v>409</v>
      </c>
      <c r="B341" s="25">
        <v>49</v>
      </c>
      <c r="C341" s="25" t="s">
        <v>78</v>
      </c>
      <c r="D341" s="26">
        <v>107795</v>
      </c>
      <c r="E341" s="25">
        <v>13</v>
      </c>
      <c r="F341" s="25">
        <v>4</v>
      </c>
      <c r="G341" s="25">
        <v>1</v>
      </c>
      <c r="H341" s="25" t="s">
        <v>68</v>
      </c>
    </row>
    <row r="342" spans="1:8" ht="15.75" x14ac:dyDescent="0.25">
      <c r="A342" s="25" t="s">
        <v>410</v>
      </c>
      <c r="B342" s="25">
        <v>23</v>
      </c>
      <c r="C342" s="25" t="s">
        <v>70</v>
      </c>
      <c r="D342" s="26">
        <v>50526</v>
      </c>
      <c r="E342" s="25">
        <v>17</v>
      </c>
      <c r="F342" s="25">
        <v>1</v>
      </c>
      <c r="G342" s="25">
        <v>0</v>
      </c>
      <c r="H342" s="25" t="s">
        <v>68</v>
      </c>
    </row>
    <row r="343" spans="1:8" ht="15.75" x14ac:dyDescent="0.25">
      <c r="A343" s="25" t="s">
        <v>411</v>
      </c>
      <c r="B343" s="25">
        <v>28</v>
      </c>
      <c r="C343" s="25" t="s">
        <v>67</v>
      </c>
      <c r="D343" s="26">
        <v>95481</v>
      </c>
      <c r="E343" s="25">
        <v>18</v>
      </c>
      <c r="F343" s="25">
        <v>4</v>
      </c>
      <c r="G343" s="25">
        <v>0</v>
      </c>
      <c r="H343" s="25" t="s">
        <v>65</v>
      </c>
    </row>
    <row r="344" spans="1:8" ht="15.75" x14ac:dyDescent="0.25">
      <c r="A344" s="25" t="s">
        <v>412</v>
      </c>
      <c r="B344" s="25">
        <v>22</v>
      </c>
      <c r="C344" s="25" t="s">
        <v>78</v>
      </c>
      <c r="D344" s="26">
        <v>82775</v>
      </c>
      <c r="E344" s="25">
        <v>5</v>
      </c>
      <c r="F344" s="25">
        <v>3</v>
      </c>
      <c r="G344" s="25">
        <v>0</v>
      </c>
      <c r="H344" s="25" t="s">
        <v>65</v>
      </c>
    </row>
    <row r="345" spans="1:8" ht="15.75" x14ac:dyDescent="0.25">
      <c r="A345" s="25" t="s">
        <v>413</v>
      </c>
      <c r="B345" s="25">
        <v>51</v>
      </c>
      <c r="C345" s="25" t="s">
        <v>70</v>
      </c>
      <c r="D345" s="26">
        <v>116649</v>
      </c>
      <c r="E345" s="25">
        <v>4</v>
      </c>
      <c r="F345" s="25">
        <v>2</v>
      </c>
      <c r="G345" s="25">
        <v>0</v>
      </c>
      <c r="H345" s="25" t="s">
        <v>65</v>
      </c>
    </row>
    <row r="346" spans="1:8" ht="15.75" x14ac:dyDescent="0.25">
      <c r="A346" s="25" t="s">
        <v>414</v>
      </c>
      <c r="B346" s="25">
        <v>57</v>
      </c>
      <c r="C346" s="25" t="s">
        <v>83</v>
      </c>
      <c r="D346" s="26">
        <v>46006</v>
      </c>
      <c r="E346" s="25">
        <v>15</v>
      </c>
      <c r="F346" s="25">
        <v>3</v>
      </c>
      <c r="G346" s="25">
        <v>0</v>
      </c>
      <c r="H346" s="25" t="s">
        <v>68</v>
      </c>
    </row>
    <row r="347" spans="1:8" ht="15.75" x14ac:dyDescent="0.25">
      <c r="A347" s="25" t="s">
        <v>415</v>
      </c>
      <c r="B347" s="25">
        <v>40</v>
      </c>
      <c r="C347" s="25" t="s">
        <v>70</v>
      </c>
      <c r="D347" s="26">
        <v>51643</v>
      </c>
      <c r="E347" s="25">
        <v>13</v>
      </c>
      <c r="F347" s="25">
        <v>2</v>
      </c>
      <c r="G347" s="25">
        <v>1</v>
      </c>
      <c r="H347" s="25" t="s">
        <v>65</v>
      </c>
    </row>
    <row r="348" spans="1:8" ht="15.75" x14ac:dyDescent="0.25">
      <c r="A348" s="25" t="s">
        <v>416</v>
      </c>
      <c r="B348" s="25">
        <v>49</v>
      </c>
      <c r="C348" s="25" t="s">
        <v>70</v>
      </c>
      <c r="D348" s="26">
        <v>119949</v>
      </c>
      <c r="E348" s="25">
        <v>12</v>
      </c>
      <c r="F348" s="25">
        <v>1</v>
      </c>
      <c r="G348" s="25">
        <v>0</v>
      </c>
      <c r="H348" s="25" t="s">
        <v>65</v>
      </c>
    </row>
    <row r="349" spans="1:8" ht="15.75" x14ac:dyDescent="0.25">
      <c r="A349" s="25" t="s">
        <v>417</v>
      </c>
      <c r="B349" s="25">
        <v>37</v>
      </c>
      <c r="C349" s="25" t="s">
        <v>64</v>
      </c>
      <c r="D349" s="26">
        <v>93128</v>
      </c>
      <c r="E349" s="25">
        <v>1</v>
      </c>
      <c r="F349" s="25">
        <v>2</v>
      </c>
      <c r="G349" s="25">
        <v>0</v>
      </c>
      <c r="H349" s="25" t="s">
        <v>65</v>
      </c>
    </row>
    <row r="350" spans="1:8" ht="15.75" x14ac:dyDescent="0.25">
      <c r="A350" s="25" t="s">
        <v>418</v>
      </c>
      <c r="B350" s="25">
        <v>30</v>
      </c>
      <c r="C350" s="25" t="s">
        <v>67</v>
      </c>
      <c r="D350" s="26">
        <v>72523</v>
      </c>
      <c r="E350" s="25">
        <v>1</v>
      </c>
      <c r="F350" s="25">
        <v>4</v>
      </c>
      <c r="G350" s="25">
        <v>1</v>
      </c>
      <c r="H350" s="25" t="s">
        <v>68</v>
      </c>
    </row>
    <row r="351" spans="1:8" ht="15.75" x14ac:dyDescent="0.25">
      <c r="A351" s="25" t="s">
        <v>419</v>
      </c>
      <c r="B351" s="25">
        <v>42</v>
      </c>
      <c r="C351" s="25" t="s">
        <v>67</v>
      </c>
      <c r="D351" s="26">
        <v>100220</v>
      </c>
      <c r="E351" s="25">
        <v>11</v>
      </c>
      <c r="F351" s="25">
        <v>2</v>
      </c>
      <c r="G351" s="25">
        <v>0</v>
      </c>
      <c r="H351" s="25" t="s">
        <v>65</v>
      </c>
    </row>
    <row r="352" spans="1:8" ht="15.75" x14ac:dyDescent="0.25">
      <c r="A352" s="25" t="s">
        <v>420</v>
      </c>
      <c r="B352" s="25">
        <v>26</v>
      </c>
      <c r="C352" s="25" t="s">
        <v>83</v>
      </c>
      <c r="D352" s="26">
        <v>103390</v>
      </c>
      <c r="E352" s="25">
        <v>0</v>
      </c>
      <c r="F352" s="25">
        <v>3</v>
      </c>
      <c r="G352" s="25">
        <v>1</v>
      </c>
      <c r="H352" s="25" t="s">
        <v>65</v>
      </c>
    </row>
    <row r="353" spans="1:8" ht="15.75" x14ac:dyDescent="0.25">
      <c r="A353" s="25" t="s">
        <v>421</v>
      </c>
      <c r="B353" s="25">
        <v>54</v>
      </c>
      <c r="C353" s="25" t="s">
        <v>70</v>
      </c>
      <c r="D353" s="26">
        <v>82784</v>
      </c>
      <c r="E353" s="25">
        <v>18</v>
      </c>
      <c r="F353" s="25">
        <v>4</v>
      </c>
      <c r="G353" s="25">
        <v>0</v>
      </c>
      <c r="H353" s="25" t="s">
        <v>65</v>
      </c>
    </row>
    <row r="354" spans="1:8" ht="15.75" x14ac:dyDescent="0.25">
      <c r="A354" s="25" t="s">
        <v>422</v>
      </c>
      <c r="B354" s="25">
        <v>51</v>
      </c>
      <c r="C354" s="25" t="s">
        <v>83</v>
      </c>
      <c r="D354" s="26">
        <v>117893</v>
      </c>
      <c r="E354" s="25">
        <v>15</v>
      </c>
      <c r="F354" s="25">
        <v>3</v>
      </c>
      <c r="G354" s="25">
        <v>1</v>
      </c>
      <c r="H354" s="25" t="s">
        <v>65</v>
      </c>
    </row>
    <row r="355" spans="1:8" ht="15.75" x14ac:dyDescent="0.25">
      <c r="A355" s="25" t="s">
        <v>423</v>
      </c>
      <c r="B355" s="25">
        <v>32</v>
      </c>
      <c r="C355" s="25" t="s">
        <v>83</v>
      </c>
      <c r="D355" s="26">
        <v>89701</v>
      </c>
      <c r="E355" s="25">
        <v>6</v>
      </c>
      <c r="F355" s="25">
        <v>1</v>
      </c>
      <c r="G355" s="25">
        <v>0</v>
      </c>
      <c r="H355" s="25" t="s">
        <v>65</v>
      </c>
    </row>
    <row r="356" spans="1:8" ht="15.75" x14ac:dyDescent="0.25">
      <c r="A356" s="25" t="s">
        <v>424</v>
      </c>
      <c r="B356" s="25">
        <v>32</v>
      </c>
      <c r="C356" s="25" t="s">
        <v>67</v>
      </c>
      <c r="D356" s="26">
        <v>47946</v>
      </c>
      <c r="E356" s="25">
        <v>6</v>
      </c>
      <c r="F356" s="25">
        <v>3</v>
      </c>
      <c r="G356" s="25">
        <v>1</v>
      </c>
      <c r="H356" s="25" t="s">
        <v>65</v>
      </c>
    </row>
    <row r="357" spans="1:8" ht="15.75" x14ac:dyDescent="0.25">
      <c r="A357" s="25" t="s">
        <v>425</v>
      </c>
      <c r="B357" s="25">
        <v>36</v>
      </c>
      <c r="C357" s="25" t="s">
        <v>67</v>
      </c>
      <c r="D357" s="26">
        <v>43127</v>
      </c>
      <c r="E357" s="25">
        <v>15</v>
      </c>
      <c r="F357" s="25">
        <v>3</v>
      </c>
      <c r="G357" s="25">
        <v>0</v>
      </c>
      <c r="H357" s="25" t="s">
        <v>65</v>
      </c>
    </row>
    <row r="358" spans="1:8" ht="15.75" x14ac:dyDescent="0.25">
      <c r="A358" s="25" t="s">
        <v>426</v>
      </c>
      <c r="B358" s="25">
        <v>45</v>
      </c>
      <c r="C358" s="25" t="s">
        <v>67</v>
      </c>
      <c r="D358" s="26">
        <v>59404</v>
      </c>
      <c r="E358" s="25">
        <v>5</v>
      </c>
      <c r="F358" s="25">
        <v>3</v>
      </c>
      <c r="G358" s="25">
        <v>0</v>
      </c>
      <c r="H358" s="25" t="s">
        <v>65</v>
      </c>
    </row>
    <row r="359" spans="1:8" ht="15.75" x14ac:dyDescent="0.25">
      <c r="A359" s="25" t="s">
        <v>427</v>
      </c>
      <c r="B359" s="25">
        <v>42</v>
      </c>
      <c r="C359" s="25" t="s">
        <v>78</v>
      </c>
      <c r="D359" s="26">
        <v>118424</v>
      </c>
      <c r="E359" s="25">
        <v>17</v>
      </c>
      <c r="F359" s="25">
        <v>4</v>
      </c>
      <c r="G359" s="25">
        <v>0</v>
      </c>
      <c r="H359" s="25" t="s">
        <v>65</v>
      </c>
    </row>
    <row r="360" spans="1:8" ht="15.75" x14ac:dyDescent="0.25">
      <c r="A360" s="25" t="s">
        <v>428</v>
      </c>
      <c r="B360" s="25">
        <v>47</v>
      </c>
      <c r="C360" s="25" t="s">
        <v>70</v>
      </c>
      <c r="D360" s="26">
        <v>47401</v>
      </c>
      <c r="E360" s="25">
        <v>0</v>
      </c>
      <c r="F360" s="25">
        <v>1</v>
      </c>
      <c r="G360" s="25">
        <v>1</v>
      </c>
      <c r="H360" s="25" t="s">
        <v>65</v>
      </c>
    </row>
    <row r="361" spans="1:8" ht="15.75" x14ac:dyDescent="0.25">
      <c r="A361" s="25" t="s">
        <v>429</v>
      </c>
      <c r="B361" s="25">
        <v>44</v>
      </c>
      <c r="C361" s="25" t="s">
        <v>83</v>
      </c>
      <c r="D361" s="26">
        <v>45428</v>
      </c>
      <c r="E361" s="25">
        <v>0</v>
      </c>
      <c r="F361" s="25">
        <v>1</v>
      </c>
      <c r="G361" s="25">
        <v>0</v>
      </c>
      <c r="H361" s="25" t="s">
        <v>68</v>
      </c>
    </row>
    <row r="362" spans="1:8" ht="15.75" x14ac:dyDescent="0.25">
      <c r="A362" s="25" t="s">
        <v>430</v>
      </c>
      <c r="B362" s="25">
        <v>32</v>
      </c>
      <c r="C362" s="25" t="s">
        <v>70</v>
      </c>
      <c r="D362" s="26">
        <v>94372</v>
      </c>
      <c r="E362" s="25">
        <v>13</v>
      </c>
      <c r="F362" s="25">
        <v>1</v>
      </c>
      <c r="G362" s="25">
        <v>1</v>
      </c>
      <c r="H362" s="25" t="s">
        <v>65</v>
      </c>
    </row>
    <row r="363" spans="1:8" ht="15.75" x14ac:dyDescent="0.25">
      <c r="A363" s="25" t="s">
        <v>431</v>
      </c>
      <c r="B363" s="25">
        <v>38</v>
      </c>
      <c r="C363" s="25" t="s">
        <v>83</v>
      </c>
      <c r="D363" s="26">
        <v>41971</v>
      </c>
      <c r="E363" s="25">
        <v>5</v>
      </c>
      <c r="F363" s="25">
        <v>3</v>
      </c>
      <c r="G363" s="25">
        <v>0</v>
      </c>
      <c r="H363" s="25" t="s">
        <v>65</v>
      </c>
    </row>
    <row r="364" spans="1:8" ht="15.75" x14ac:dyDescent="0.25">
      <c r="A364" s="25" t="s">
        <v>432</v>
      </c>
      <c r="B364" s="25">
        <v>36</v>
      </c>
      <c r="C364" s="25" t="s">
        <v>83</v>
      </c>
      <c r="D364" s="26">
        <v>118018</v>
      </c>
      <c r="E364" s="25">
        <v>5</v>
      </c>
      <c r="F364" s="25">
        <v>4</v>
      </c>
      <c r="G364" s="25">
        <v>0</v>
      </c>
      <c r="H364" s="25" t="s">
        <v>65</v>
      </c>
    </row>
    <row r="365" spans="1:8" ht="15.75" x14ac:dyDescent="0.25">
      <c r="A365" s="25" t="s">
        <v>433</v>
      </c>
      <c r="B365" s="25">
        <v>24</v>
      </c>
      <c r="C365" s="25" t="s">
        <v>83</v>
      </c>
      <c r="D365" s="26">
        <v>115504</v>
      </c>
      <c r="E365" s="25">
        <v>3</v>
      </c>
      <c r="F365" s="25">
        <v>4</v>
      </c>
      <c r="G365" s="25">
        <v>0</v>
      </c>
      <c r="H365" s="25" t="s">
        <v>65</v>
      </c>
    </row>
    <row r="366" spans="1:8" ht="15.75" x14ac:dyDescent="0.25">
      <c r="A366" s="25" t="s">
        <v>434</v>
      </c>
      <c r="B366" s="25">
        <v>32</v>
      </c>
      <c r="C366" s="25" t="s">
        <v>83</v>
      </c>
      <c r="D366" s="26">
        <v>46565</v>
      </c>
      <c r="E366" s="25">
        <v>11</v>
      </c>
      <c r="F366" s="25">
        <v>4</v>
      </c>
      <c r="G366" s="25">
        <v>1</v>
      </c>
      <c r="H366" s="25" t="s">
        <v>65</v>
      </c>
    </row>
    <row r="367" spans="1:8" ht="15.75" x14ac:dyDescent="0.25">
      <c r="A367" s="25" t="s">
        <v>435</v>
      </c>
      <c r="B367" s="25">
        <v>53</v>
      </c>
      <c r="C367" s="25" t="s">
        <v>64</v>
      </c>
      <c r="D367" s="26">
        <v>36829</v>
      </c>
      <c r="E367" s="25">
        <v>17</v>
      </c>
      <c r="F367" s="25">
        <v>3</v>
      </c>
      <c r="G367" s="25">
        <v>1</v>
      </c>
      <c r="H367" s="25" t="s">
        <v>65</v>
      </c>
    </row>
    <row r="368" spans="1:8" ht="15.75" x14ac:dyDescent="0.25">
      <c r="A368" s="25" t="s">
        <v>436</v>
      </c>
      <c r="B368" s="25">
        <v>42</v>
      </c>
      <c r="C368" s="25" t="s">
        <v>64</v>
      </c>
      <c r="D368" s="26">
        <v>106023</v>
      </c>
      <c r="E368" s="25">
        <v>9</v>
      </c>
      <c r="F368" s="25">
        <v>1</v>
      </c>
      <c r="G368" s="25">
        <v>1</v>
      </c>
      <c r="H368" s="25" t="s">
        <v>65</v>
      </c>
    </row>
    <row r="369" spans="1:8" ht="15.75" x14ac:dyDescent="0.25">
      <c r="A369" s="25" t="s">
        <v>437</v>
      </c>
      <c r="B369" s="25">
        <v>38</v>
      </c>
      <c r="C369" s="25" t="s">
        <v>78</v>
      </c>
      <c r="D369" s="26">
        <v>65435</v>
      </c>
      <c r="E369" s="25">
        <v>2</v>
      </c>
      <c r="F369" s="25">
        <v>3</v>
      </c>
      <c r="G369" s="25">
        <v>1</v>
      </c>
      <c r="H369" s="25" t="s">
        <v>65</v>
      </c>
    </row>
    <row r="370" spans="1:8" ht="15.75" x14ac:dyDescent="0.25">
      <c r="A370" s="25" t="s">
        <v>438</v>
      </c>
      <c r="B370" s="25">
        <v>53</v>
      </c>
      <c r="C370" s="25" t="s">
        <v>67</v>
      </c>
      <c r="D370" s="26">
        <v>111823</v>
      </c>
      <c r="E370" s="25">
        <v>2</v>
      </c>
      <c r="F370" s="25">
        <v>4</v>
      </c>
      <c r="G370" s="25">
        <v>0</v>
      </c>
      <c r="H370" s="25" t="s">
        <v>65</v>
      </c>
    </row>
    <row r="371" spans="1:8" ht="15.75" x14ac:dyDescent="0.25">
      <c r="A371" s="25" t="s">
        <v>439</v>
      </c>
      <c r="B371" s="25">
        <v>47</v>
      </c>
      <c r="C371" s="25" t="s">
        <v>83</v>
      </c>
      <c r="D371" s="26">
        <v>68941</v>
      </c>
      <c r="E371" s="25">
        <v>7</v>
      </c>
      <c r="F371" s="25">
        <v>3</v>
      </c>
      <c r="G371" s="25">
        <v>1</v>
      </c>
      <c r="H371" s="25" t="s">
        <v>65</v>
      </c>
    </row>
    <row r="372" spans="1:8" ht="15.75" x14ac:dyDescent="0.25">
      <c r="A372" s="25" t="s">
        <v>440</v>
      </c>
      <c r="B372" s="25">
        <v>39</v>
      </c>
      <c r="C372" s="25" t="s">
        <v>70</v>
      </c>
      <c r="D372" s="26">
        <v>72459</v>
      </c>
      <c r="E372" s="25">
        <v>0</v>
      </c>
      <c r="F372" s="25">
        <v>2</v>
      </c>
      <c r="G372" s="25">
        <v>0</v>
      </c>
      <c r="H372" s="25" t="s">
        <v>65</v>
      </c>
    </row>
    <row r="373" spans="1:8" ht="15.75" x14ac:dyDescent="0.25">
      <c r="A373" s="25" t="s">
        <v>441</v>
      </c>
      <c r="B373" s="25">
        <v>34</v>
      </c>
      <c r="C373" s="25" t="s">
        <v>64</v>
      </c>
      <c r="D373" s="26">
        <v>77976</v>
      </c>
      <c r="E373" s="25">
        <v>17</v>
      </c>
      <c r="F373" s="25">
        <v>1</v>
      </c>
      <c r="G373" s="25">
        <v>1</v>
      </c>
      <c r="H373" s="25" t="s">
        <v>68</v>
      </c>
    </row>
    <row r="374" spans="1:8" ht="15.75" x14ac:dyDescent="0.25">
      <c r="A374" s="25" t="s">
        <v>442</v>
      </c>
      <c r="B374" s="25">
        <v>45</v>
      </c>
      <c r="C374" s="25" t="s">
        <v>67</v>
      </c>
      <c r="D374" s="26">
        <v>109199</v>
      </c>
      <c r="E374" s="25">
        <v>14</v>
      </c>
      <c r="F374" s="25">
        <v>1</v>
      </c>
      <c r="G374" s="25">
        <v>0</v>
      </c>
      <c r="H374" s="25" t="s">
        <v>68</v>
      </c>
    </row>
    <row r="375" spans="1:8" ht="15.75" x14ac:dyDescent="0.25">
      <c r="A375" s="25" t="s">
        <v>443</v>
      </c>
      <c r="B375" s="25">
        <v>54</v>
      </c>
      <c r="C375" s="25" t="s">
        <v>78</v>
      </c>
      <c r="D375" s="26">
        <v>39176</v>
      </c>
      <c r="E375" s="25">
        <v>19</v>
      </c>
      <c r="F375" s="25">
        <v>4</v>
      </c>
      <c r="G375" s="25">
        <v>1</v>
      </c>
      <c r="H375" s="25" t="s">
        <v>65</v>
      </c>
    </row>
    <row r="376" spans="1:8" ht="15.75" x14ac:dyDescent="0.25">
      <c r="A376" s="25" t="s">
        <v>444</v>
      </c>
      <c r="B376" s="25">
        <v>44</v>
      </c>
      <c r="C376" s="25" t="s">
        <v>67</v>
      </c>
      <c r="D376" s="26">
        <v>81516</v>
      </c>
      <c r="E376" s="25">
        <v>16</v>
      </c>
      <c r="F376" s="25">
        <v>3</v>
      </c>
      <c r="G376" s="25">
        <v>0</v>
      </c>
      <c r="H376" s="25" t="s">
        <v>68</v>
      </c>
    </row>
    <row r="377" spans="1:8" ht="15.75" x14ac:dyDescent="0.25">
      <c r="A377" s="25" t="s">
        <v>445</v>
      </c>
      <c r="B377" s="25">
        <v>58</v>
      </c>
      <c r="C377" s="25" t="s">
        <v>83</v>
      </c>
      <c r="D377" s="26">
        <v>45072</v>
      </c>
      <c r="E377" s="25">
        <v>10</v>
      </c>
      <c r="F377" s="25">
        <v>4</v>
      </c>
      <c r="G377" s="25">
        <v>0</v>
      </c>
      <c r="H377" s="25" t="s">
        <v>68</v>
      </c>
    </row>
    <row r="378" spans="1:8" ht="15.75" x14ac:dyDescent="0.25">
      <c r="A378" s="25" t="s">
        <v>446</v>
      </c>
      <c r="B378" s="25">
        <v>43</v>
      </c>
      <c r="C378" s="25" t="s">
        <v>67</v>
      </c>
      <c r="D378" s="26">
        <v>101052</v>
      </c>
      <c r="E378" s="25">
        <v>12</v>
      </c>
      <c r="F378" s="25">
        <v>3</v>
      </c>
      <c r="G378" s="25">
        <v>0</v>
      </c>
      <c r="H378" s="25" t="s">
        <v>65</v>
      </c>
    </row>
    <row r="379" spans="1:8" ht="15.75" x14ac:dyDescent="0.25">
      <c r="A379" s="25" t="s">
        <v>447</v>
      </c>
      <c r="B379" s="25">
        <v>25</v>
      </c>
      <c r="C379" s="25" t="s">
        <v>83</v>
      </c>
      <c r="D379" s="26">
        <v>49689</v>
      </c>
      <c r="E379" s="25">
        <v>19</v>
      </c>
      <c r="F379" s="25">
        <v>2</v>
      </c>
      <c r="G379" s="25">
        <v>0</v>
      </c>
      <c r="H379" s="25" t="s">
        <v>65</v>
      </c>
    </row>
    <row r="380" spans="1:8" ht="15.75" x14ac:dyDescent="0.25">
      <c r="A380" s="25" t="s">
        <v>448</v>
      </c>
      <c r="B380" s="25">
        <v>56</v>
      </c>
      <c r="C380" s="25" t="s">
        <v>64</v>
      </c>
      <c r="D380" s="26">
        <v>48599</v>
      </c>
      <c r="E380" s="25">
        <v>9</v>
      </c>
      <c r="F380" s="25">
        <v>1</v>
      </c>
      <c r="G380" s="25">
        <v>0</v>
      </c>
      <c r="H380" s="25" t="s">
        <v>65</v>
      </c>
    </row>
    <row r="381" spans="1:8" ht="15.75" x14ac:dyDescent="0.25">
      <c r="A381" s="25" t="s">
        <v>449</v>
      </c>
      <c r="B381" s="25">
        <v>44</v>
      </c>
      <c r="C381" s="25" t="s">
        <v>64</v>
      </c>
      <c r="D381" s="26">
        <v>112045</v>
      </c>
      <c r="E381" s="25">
        <v>12</v>
      </c>
      <c r="F381" s="25">
        <v>1</v>
      </c>
      <c r="G381" s="25">
        <v>1</v>
      </c>
      <c r="H381" s="25" t="s">
        <v>65</v>
      </c>
    </row>
    <row r="382" spans="1:8" ht="15.75" x14ac:dyDescent="0.25">
      <c r="A382" s="25" t="s">
        <v>450</v>
      </c>
      <c r="B382" s="25">
        <v>56</v>
      </c>
      <c r="C382" s="25" t="s">
        <v>83</v>
      </c>
      <c r="D382" s="26">
        <v>65388</v>
      </c>
      <c r="E382" s="25">
        <v>16</v>
      </c>
      <c r="F382" s="25">
        <v>3</v>
      </c>
      <c r="G382" s="25">
        <v>1</v>
      </c>
      <c r="H382" s="25" t="s">
        <v>65</v>
      </c>
    </row>
    <row r="383" spans="1:8" ht="15.75" x14ac:dyDescent="0.25">
      <c r="A383" s="25" t="s">
        <v>451</v>
      </c>
      <c r="B383" s="25">
        <v>25</v>
      </c>
      <c r="C383" s="25" t="s">
        <v>70</v>
      </c>
      <c r="D383" s="26">
        <v>80603</v>
      </c>
      <c r="E383" s="25">
        <v>0</v>
      </c>
      <c r="F383" s="25">
        <v>1</v>
      </c>
      <c r="G383" s="25">
        <v>0</v>
      </c>
      <c r="H383" s="25" t="s">
        <v>65</v>
      </c>
    </row>
    <row r="384" spans="1:8" ht="15.75" x14ac:dyDescent="0.25">
      <c r="A384" s="25" t="s">
        <v>452</v>
      </c>
      <c r="B384" s="25">
        <v>59</v>
      </c>
      <c r="C384" s="25" t="s">
        <v>64</v>
      </c>
      <c r="D384" s="26">
        <v>104736</v>
      </c>
      <c r="E384" s="25">
        <v>19</v>
      </c>
      <c r="F384" s="25">
        <v>3</v>
      </c>
      <c r="G384" s="25">
        <v>0</v>
      </c>
      <c r="H384" s="25" t="s">
        <v>65</v>
      </c>
    </row>
    <row r="385" spans="1:8" ht="15.75" x14ac:dyDescent="0.25">
      <c r="A385" s="25" t="s">
        <v>453</v>
      </c>
      <c r="B385" s="25">
        <v>26</v>
      </c>
      <c r="C385" s="25" t="s">
        <v>70</v>
      </c>
      <c r="D385" s="26">
        <v>55789</v>
      </c>
      <c r="E385" s="25">
        <v>15</v>
      </c>
      <c r="F385" s="25">
        <v>4</v>
      </c>
      <c r="G385" s="25">
        <v>0</v>
      </c>
      <c r="H385" s="25" t="s">
        <v>65</v>
      </c>
    </row>
    <row r="386" spans="1:8" ht="15.75" x14ac:dyDescent="0.25">
      <c r="A386" s="25" t="s">
        <v>454</v>
      </c>
      <c r="B386" s="25">
        <v>56</v>
      </c>
      <c r="C386" s="25" t="s">
        <v>83</v>
      </c>
      <c r="D386" s="26">
        <v>107432</v>
      </c>
      <c r="E386" s="25">
        <v>15</v>
      </c>
      <c r="F386" s="25">
        <v>2</v>
      </c>
      <c r="G386" s="25">
        <v>1</v>
      </c>
      <c r="H386" s="25" t="s">
        <v>65</v>
      </c>
    </row>
    <row r="387" spans="1:8" ht="15.75" x14ac:dyDescent="0.25">
      <c r="A387" s="25" t="s">
        <v>455</v>
      </c>
      <c r="B387" s="25">
        <v>24</v>
      </c>
      <c r="C387" s="25" t="s">
        <v>83</v>
      </c>
      <c r="D387" s="26">
        <v>117467</v>
      </c>
      <c r="E387" s="25">
        <v>2</v>
      </c>
      <c r="F387" s="25">
        <v>3</v>
      </c>
      <c r="G387" s="25">
        <v>0</v>
      </c>
      <c r="H387" s="25" t="s">
        <v>65</v>
      </c>
    </row>
    <row r="388" spans="1:8" ht="15.75" x14ac:dyDescent="0.25">
      <c r="A388" s="25" t="s">
        <v>456</v>
      </c>
      <c r="B388" s="25">
        <v>30</v>
      </c>
      <c r="C388" s="25" t="s">
        <v>64</v>
      </c>
      <c r="D388" s="26">
        <v>118623</v>
      </c>
      <c r="E388" s="25">
        <v>1</v>
      </c>
      <c r="F388" s="25">
        <v>2</v>
      </c>
      <c r="G388" s="25">
        <v>0</v>
      </c>
      <c r="H388" s="25" t="s">
        <v>65</v>
      </c>
    </row>
    <row r="389" spans="1:8" ht="15.75" x14ac:dyDescent="0.25">
      <c r="A389" s="25" t="s">
        <v>457</v>
      </c>
      <c r="B389" s="25">
        <v>21</v>
      </c>
      <c r="C389" s="25" t="s">
        <v>70</v>
      </c>
      <c r="D389" s="26">
        <v>119289</v>
      </c>
      <c r="E389" s="25">
        <v>5</v>
      </c>
      <c r="F389" s="25">
        <v>4</v>
      </c>
      <c r="G389" s="25">
        <v>0</v>
      </c>
      <c r="H389" s="25" t="s">
        <v>65</v>
      </c>
    </row>
    <row r="390" spans="1:8" ht="15.75" x14ac:dyDescent="0.25">
      <c r="A390" s="25" t="s">
        <v>458</v>
      </c>
      <c r="B390" s="25">
        <v>41</v>
      </c>
      <c r="C390" s="25" t="s">
        <v>83</v>
      </c>
      <c r="D390" s="26">
        <v>82282</v>
      </c>
      <c r="E390" s="25">
        <v>10</v>
      </c>
      <c r="F390" s="25">
        <v>4</v>
      </c>
      <c r="G390" s="25">
        <v>0</v>
      </c>
      <c r="H390" s="25" t="s">
        <v>65</v>
      </c>
    </row>
    <row r="391" spans="1:8" ht="15.75" x14ac:dyDescent="0.25">
      <c r="A391" s="25" t="s">
        <v>459</v>
      </c>
      <c r="B391" s="25">
        <v>59</v>
      </c>
      <c r="C391" s="25" t="s">
        <v>64</v>
      </c>
      <c r="D391" s="26">
        <v>63464</v>
      </c>
      <c r="E391" s="25">
        <v>2</v>
      </c>
      <c r="F391" s="25">
        <v>4</v>
      </c>
      <c r="G391" s="25">
        <v>0</v>
      </c>
      <c r="H391" s="25" t="s">
        <v>65</v>
      </c>
    </row>
    <row r="392" spans="1:8" ht="15.75" x14ac:dyDescent="0.25">
      <c r="A392" s="25" t="s">
        <v>460</v>
      </c>
      <c r="B392" s="25">
        <v>57</v>
      </c>
      <c r="C392" s="25" t="s">
        <v>83</v>
      </c>
      <c r="D392" s="26">
        <v>97806</v>
      </c>
      <c r="E392" s="25">
        <v>0</v>
      </c>
      <c r="F392" s="25">
        <v>3</v>
      </c>
      <c r="G392" s="25">
        <v>0</v>
      </c>
      <c r="H392" s="25" t="s">
        <v>65</v>
      </c>
    </row>
    <row r="393" spans="1:8" ht="15.75" x14ac:dyDescent="0.25">
      <c r="A393" s="25" t="s">
        <v>461</v>
      </c>
      <c r="B393" s="25">
        <v>23</v>
      </c>
      <c r="C393" s="25" t="s">
        <v>67</v>
      </c>
      <c r="D393" s="26">
        <v>71994</v>
      </c>
      <c r="E393" s="25">
        <v>10</v>
      </c>
      <c r="F393" s="25">
        <v>2</v>
      </c>
      <c r="G393" s="25">
        <v>0</v>
      </c>
      <c r="H393" s="25" t="s">
        <v>68</v>
      </c>
    </row>
    <row r="394" spans="1:8" ht="15.75" x14ac:dyDescent="0.25">
      <c r="A394" s="25" t="s">
        <v>462</v>
      </c>
      <c r="B394" s="25">
        <v>51</v>
      </c>
      <c r="C394" s="25" t="s">
        <v>67</v>
      </c>
      <c r="D394" s="26">
        <v>111596</v>
      </c>
      <c r="E394" s="25">
        <v>12</v>
      </c>
      <c r="F394" s="25">
        <v>2</v>
      </c>
      <c r="G394" s="25">
        <v>0</v>
      </c>
      <c r="H394" s="25" t="s">
        <v>65</v>
      </c>
    </row>
    <row r="395" spans="1:8" ht="15.75" x14ac:dyDescent="0.25">
      <c r="A395" s="25" t="s">
        <v>463</v>
      </c>
      <c r="B395" s="25">
        <v>47</v>
      </c>
      <c r="C395" s="25" t="s">
        <v>64</v>
      </c>
      <c r="D395" s="26">
        <v>55594</v>
      </c>
      <c r="E395" s="25">
        <v>4</v>
      </c>
      <c r="F395" s="25">
        <v>1</v>
      </c>
      <c r="G395" s="25">
        <v>0</v>
      </c>
      <c r="H395" s="25" t="s">
        <v>65</v>
      </c>
    </row>
    <row r="396" spans="1:8" ht="15.75" x14ac:dyDescent="0.25">
      <c r="A396" s="25" t="s">
        <v>464</v>
      </c>
      <c r="B396" s="25">
        <v>37</v>
      </c>
      <c r="C396" s="25" t="s">
        <v>83</v>
      </c>
      <c r="D396" s="26">
        <v>82563</v>
      </c>
      <c r="E396" s="25">
        <v>17</v>
      </c>
      <c r="F396" s="25">
        <v>3</v>
      </c>
      <c r="G396" s="25">
        <v>0</v>
      </c>
      <c r="H396" s="25" t="s">
        <v>65</v>
      </c>
    </row>
    <row r="397" spans="1:8" ht="15.75" x14ac:dyDescent="0.25">
      <c r="A397" s="25" t="s">
        <v>465</v>
      </c>
      <c r="B397" s="25">
        <v>43</v>
      </c>
      <c r="C397" s="25" t="s">
        <v>64</v>
      </c>
      <c r="D397" s="26">
        <v>110352</v>
      </c>
      <c r="E397" s="25">
        <v>14</v>
      </c>
      <c r="F397" s="25">
        <v>1</v>
      </c>
      <c r="G397" s="25">
        <v>0</v>
      </c>
      <c r="H397" s="25" t="s">
        <v>65</v>
      </c>
    </row>
    <row r="398" spans="1:8" ht="15.75" x14ac:dyDescent="0.25">
      <c r="A398" s="25" t="s">
        <v>466</v>
      </c>
      <c r="B398" s="25">
        <v>33</v>
      </c>
      <c r="C398" s="25" t="s">
        <v>78</v>
      </c>
      <c r="D398" s="26">
        <v>116840</v>
      </c>
      <c r="E398" s="25">
        <v>17</v>
      </c>
      <c r="F398" s="25">
        <v>1</v>
      </c>
      <c r="G398" s="25">
        <v>0</v>
      </c>
      <c r="H398" s="25" t="s">
        <v>65</v>
      </c>
    </row>
    <row r="399" spans="1:8" ht="15.75" x14ac:dyDescent="0.25">
      <c r="A399" s="25" t="s">
        <v>467</v>
      </c>
      <c r="B399" s="25">
        <v>47</v>
      </c>
      <c r="C399" s="25" t="s">
        <v>64</v>
      </c>
      <c r="D399" s="26">
        <v>58386</v>
      </c>
      <c r="E399" s="25">
        <v>14</v>
      </c>
      <c r="F399" s="25">
        <v>3</v>
      </c>
      <c r="G399" s="25">
        <v>0</v>
      </c>
      <c r="H399" s="25" t="s">
        <v>65</v>
      </c>
    </row>
    <row r="400" spans="1:8" ht="15.75" x14ac:dyDescent="0.25">
      <c r="A400" s="25" t="s">
        <v>468</v>
      </c>
      <c r="B400" s="25">
        <v>40</v>
      </c>
      <c r="C400" s="25" t="s">
        <v>64</v>
      </c>
      <c r="D400" s="26">
        <v>96652</v>
      </c>
      <c r="E400" s="25">
        <v>19</v>
      </c>
      <c r="F400" s="25">
        <v>1</v>
      </c>
      <c r="G400" s="25">
        <v>1</v>
      </c>
      <c r="H400" s="25" t="s">
        <v>65</v>
      </c>
    </row>
    <row r="401" spans="1:8" ht="15.75" x14ac:dyDescent="0.25">
      <c r="A401" s="25" t="s">
        <v>469</v>
      </c>
      <c r="B401" s="25">
        <v>33</v>
      </c>
      <c r="C401" s="25" t="s">
        <v>67</v>
      </c>
      <c r="D401" s="26">
        <v>47540</v>
      </c>
      <c r="E401" s="25">
        <v>19</v>
      </c>
      <c r="F401" s="25">
        <v>1</v>
      </c>
      <c r="G401" s="25">
        <v>0</v>
      </c>
      <c r="H401" s="25" t="s">
        <v>65</v>
      </c>
    </row>
    <row r="402" spans="1:8" ht="15.75" x14ac:dyDescent="0.25">
      <c r="A402" s="25" t="s">
        <v>470</v>
      </c>
      <c r="B402" s="25">
        <v>44</v>
      </c>
      <c r="C402" s="25" t="s">
        <v>67</v>
      </c>
      <c r="D402" s="26">
        <v>63756</v>
      </c>
      <c r="E402" s="25">
        <v>19</v>
      </c>
      <c r="F402" s="25">
        <v>1</v>
      </c>
      <c r="G402" s="25">
        <v>1</v>
      </c>
      <c r="H402" s="25" t="s">
        <v>65</v>
      </c>
    </row>
    <row r="403" spans="1:8" ht="15.75" x14ac:dyDescent="0.25">
      <c r="A403" s="25" t="s">
        <v>471</v>
      </c>
      <c r="B403" s="25">
        <v>23</v>
      </c>
      <c r="C403" s="25" t="s">
        <v>83</v>
      </c>
      <c r="D403" s="26">
        <v>73426</v>
      </c>
      <c r="E403" s="25">
        <v>6</v>
      </c>
      <c r="F403" s="25">
        <v>4</v>
      </c>
      <c r="G403" s="25">
        <v>0</v>
      </c>
      <c r="H403" s="25" t="s">
        <v>65</v>
      </c>
    </row>
    <row r="404" spans="1:8" ht="15.75" x14ac:dyDescent="0.25">
      <c r="A404" s="25" t="s">
        <v>472</v>
      </c>
      <c r="B404" s="25">
        <v>30</v>
      </c>
      <c r="C404" s="25" t="s">
        <v>64</v>
      </c>
      <c r="D404" s="26">
        <v>35587</v>
      </c>
      <c r="E404" s="25">
        <v>16</v>
      </c>
      <c r="F404" s="25">
        <v>3</v>
      </c>
      <c r="G404" s="25">
        <v>0</v>
      </c>
      <c r="H404" s="25" t="s">
        <v>68</v>
      </c>
    </row>
    <row r="405" spans="1:8" ht="15.75" x14ac:dyDescent="0.25">
      <c r="A405" s="25" t="s">
        <v>473</v>
      </c>
      <c r="B405" s="25">
        <v>21</v>
      </c>
      <c r="C405" s="25" t="s">
        <v>64</v>
      </c>
      <c r="D405" s="26">
        <v>113748</v>
      </c>
      <c r="E405" s="25">
        <v>7</v>
      </c>
      <c r="F405" s="25">
        <v>4</v>
      </c>
      <c r="G405" s="25">
        <v>0</v>
      </c>
      <c r="H405" s="25" t="s">
        <v>68</v>
      </c>
    </row>
    <row r="406" spans="1:8" ht="15.75" x14ac:dyDescent="0.25">
      <c r="A406" s="25" t="s">
        <v>474</v>
      </c>
      <c r="B406" s="25">
        <v>33</v>
      </c>
      <c r="C406" s="25" t="s">
        <v>83</v>
      </c>
      <c r="D406" s="26">
        <v>111339</v>
      </c>
      <c r="E406" s="25">
        <v>12</v>
      </c>
      <c r="F406" s="25">
        <v>1</v>
      </c>
      <c r="G406" s="25">
        <v>0</v>
      </c>
      <c r="H406" s="25" t="s">
        <v>65</v>
      </c>
    </row>
    <row r="407" spans="1:8" ht="15.75" x14ac:dyDescent="0.25">
      <c r="A407" s="25" t="s">
        <v>475</v>
      </c>
      <c r="B407" s="25">
        <v>34</v>
      </c>
      <c r="C407" s="25" t="s">
        <v>70</v>
      </c>
      <c r="D407" s="26">
        <v>119792</v>
      </c>
      <c r="E407" s="25">
        <v>15</v>
      </c>
      <c r="F407" s="25">
        <v>1</v>
      </c>
      <c r="G407" s="25">
        <v>0</v>
      </c>
      <c r="H407" s="25" t="s">
        <v>65</v>
      </c>
    </row>
    <row r="408" spans="1:8" ht="15.75" x14ac:dyDescent="0.25">
      <c r="A408" s="25" t="s">
        <v>476</v>
      </c>
      <c r="B408" s="25">
        <v>53</v>
      </c>
      <c r="C408" s="25" t="s">
        <v>83</v>
      </c>
      <c r="D408" s="26">
        <v>79039</v>
      </c>
      <c r="E408" s="25">
        <v>9</v>
      </c>
      <c r="F408" s="25">
        <v>4</v>
      </c>
      <c r="G408" s="25">
        <v>1</v>
      </c>
      <c r="H408" s="25" t="s">
        <v>65</v>
      </c>
    </row>
    <row r="409" spans="1:8" ht="15.75" x14ac:dyDescent="0.25">
      <c r="A409" s="25" t="s">
        <v>477</v>
      </c>
      <c r="B409" s="25">
        <v>22</v>
      </c>
      <c r="C409" s="25" t="s">
        <v>67</v>
      </c>
      <c r="D409" s="26">
        <v>40269</v>
      </c>
      <c r="E409" s="25">
        <v>13</v>
      </c>
      <c r="F409" s="25">
        <v>1</v>
      </c>
      <c r="G409" s="25">
        <v>1</v>
      </c>
      <c r="H409" s="25" t="s">
        <v>65</v>
      </c>
    </row>
    <row r="410" spans="1:8" ht="15.75" x14ac:dyDescent="0.25">
      <c r="A410" s="25" t="s">
        <v>478</v>
      </c>
      <c r="B410" s="25">
        <v>22</v>
      </c>
      <c r="C410" s="25" t="s">
        <v>67</v>
      </c>
      <c r="D410" s="26">
        <v>36088</v>
      </c>
      <c r="E410" s="25">
        <v>5</v>
      </c>
      <c r="F410" s="25">
        <v>3</v>
      </c>
      <c r="G410" s="25">
        <v>0</v>
      </c>
      <c r="H410" s="25" t="s">
        <v>65</v>
      </c>
    </row>
    <row r="411" spans="1:8" ht="15.75" x14ac:dyDescent="0.25">
      <c r="A411" s="25" t="s">
        <v>479</v>
      </c>
      <c r="B411" s="25">
        <v>59</v>
      </c>
      <c r="C411" s="25" t="s">
        <v>64</v>
      </c>
      <c r="D411" s="26">
        <v>72044</v>
      </c>
      <c r="E411" s="25">
        <v>19</v>
      </c>
      <c r="F411" s="25">
        <v>2</v>
      </c>
      <c r="G411" s="25">
        <v>0</v>
      </c>
      <c r="H411" s="25" t="s">
        <v>65</v>
      </c>
    </row>
    <row r="412" spans="1:8" ht="15.75" x14ac:dyDescent="0.25">
      <c r="A412" s="25" t="s">
        <v>480</v>
      </c>
      <c r="B412" s="25">
        <v>51</v>
      </c>
      <c r="C412" s="25" t="s">
        <v>67</v>
      </c>
      <c r="D412" s="26">
        <v>57081</v>
      </c>
      <c r="E412" s="25">
        <v>6</v>
      </c>
      <c r="F412" s="25">
        <v>4</v>
      </c>
      <c r="G412" s="25">
        <v>0</v>
      </c>
      <c r="H412" s="25" t="s">
        <v>65</v>
      </c>
    </row>
    <row r="413" spans="1:8" ht="15.75" x14ac:dyDescent="0.25">
      <c r="A413" s="25" t="s">
        <v>481</v>
      </c>
      <c r="B413" s="25">
        <v>24</v>
      </c>
      <c r="C413" s="25" t="s">
        <v>83</v>
      </c>
      <c r="D413" s="26">
        <v>91388</v>
      </c>
      <c r="E413" s="25">
        <v>5</v>
      </c>
      <c r="F413" s="25">
        <v>2</v>
      </c>
      <c r="G413" s="25">
        <v>0</v>
      </c>
      <c r="H413" s="25" t="s">
        <v>65</v>
      </c>
    </row>
    <row r="414" spans="1:8" ht="15.75" x14ac:dyDescent="0.25">
      <c r="A414" s="25" t="s">
        <v>482</v>
      </c>
      <c r="B414" s="25">
        <v>54</v>
      </c>
      <c r="C414" s="25" t="s">
        <v>64</v>
      </c>
      <c r="D414" s="26">
        <v>40543</v>
      </c>
      <c r="E414" s="25">
        <v>16</v>
      </c>
      <c r="F414" s="25">
        <v>2</v>
      </c>
      <c r="G414" s="25">
        <v>1</v>
      </c>
      <c r="H414" s="25" t="s">
        <v>65</v>
      </c>
    </row>
    <row r="415" spans="1:8" ht="15.75" x14ac:dyDescent="0.25">
      <c r="A415" s="25" t="s">
        <v>483</v>
      </c>
      <c r="B415" s="25">
        <v>39</v>
      </c>
      <c r="C415" s="25" t="s">
        <v>83</v>
      </c>
      <c r="D415" s="26">
        <v>33005</v>
      </c>
      <c r="E415" s="25">
        <v>7</v>
      </c>
      <c r="F415" s="25">
        <v>2</v>
      </c>
      <c r="G415" s="25">
        <v>0</v>
      </c>
      <c r="H415" s="25" t="s">
        <v>68</v>
      </c>
    </row>
    <row r="416" spans="1:8" ht="15.75" x14ac:dyDescent="0.25">
      <c r="A416" s="25" t="s">
        <v>484</v>
      </c>
      <c r="B416" s="25">
        <v>57</v>
      </c>
      <c r="C416" s="25" t="s">
        <v>83</v>
      </c>
      <c r="D416" s="26">
        <v>67203</v>
      </c>
      <c r="E416" s="25">
        <v>11</v>
      </c>
      <c r="F416" s="25">
        <v>4</v>
      </c>
      <c r="G416" s="25">
        <v>1</v>
      </c>
      <c r="H416" s="25" t="s">
        <v>65</v>
      </c>
    </row>
    <row r="417" spans="1:8" ht="15.75" x14ac:dyDescent="0.25">
      <c r="A417" s="25" t="s">
        <v>485</v>
      </c>
      <c r="B417" s="25">
        <v>29</v>
      </c>
      <c r="C417" s="25" t="s">
        <v>64</v>
      </c>
      <c r="D417" s="26">
        <v>46220</v>
      </c>
      <c r="E417" s="25">
        <v>3</v>
      </c>
      <c r="F417" s="25">
        <v>1</v>
      </c>
      <c r="G417" s="25">
        <v>0</v>
      </c>
      <c r="H417" s="25" t="s">
        <v>65</v>
      </c>
    </row>
    <row r="418" spans="1:8" ht="15.75" x14ac:dyDescent="0.25">
      <c r="A418" s="25" t="s">
        <v>486</v>
      </c>
      <c r="B418" s="25">
        <v>44</v>
      </c>
      <c r="C418" s="25" t="s">
        <v>70</v>
      </c>
      <c r="D418" s="26">
        <v>62696</v>
      </c>
      <c r="E418" s="25">
        <v>9</v>
      </c>
      <c r="F418" s="25">
        <v>3</v>
      </c>
      <c r="G418" s="25">
        <v>0</v>
      </c>
      <c r="H418" s="25" t="s">
        <v>65</v>
      </c>
    </row>
    <row r="419" spans="1:8" ht="15.75" x14ac:dyDescent="0.25">
      <c r="A419" s="25" t="s">
        <v>487</v>
      </c>
      <c r="B419" s="25">
        <v>33</v>
      </c>
      <c r="C419" s="25" t="s">
        <v>67</v>
      </c>
      <c r="D419" s="26">
        <v>109683</v>
      </c>
      <c r="E419" s="25">
        <v>5</v>
      </c>
      <c r="F419" s="25">
        <v>1</v>
      </c>
      <c r="G419" s="25">
        <v>0</v>
      </c>
      <c r="H419" s="25" t="s">
        <v>65</v>
      </c>
    </row>
    <row r="420" spans="1:8" ht="15.75" x14ac:dyDescent="0.25">
      <c r="A420" s="25" t="s">
        <v>488</v>
      </c>
      <c r="B420" s="25">
        <v>50</v>
      </c>
      <c r="C420" s="25" t="s">
        <v>78</v>
      </c>
      <c r="D420" s="26">
        <v>76381</v>
      </c>
      <c r="E420" s="25">
        <v>6</v>
      </c>
      <c r="F420" s="25">
        <v>3</v>
      </c>
      <c r="G420" s="25">
        <v>0</v>
      </c>
      <c r="H420" s="25" t="s">
        <v>65</v>
      </c>
    </row>
    <row r="421" spans="1:8" ht="15.75" x14ac:dyDescent="0.25">
      <c r="A421" s="25" t="s">
        <v>489</v>
      </c>
      <c r="B421" s="25">
        <v>39</v>
      </c>
      <c r="C421" s="25" t="s">
        <v>78</v>
      </c>
      <c r="D421" s="26">
        <v>77984</v>
      </c>
      <c r="E421" s="25">
        <v>7</v>
      </c>
      <c r="F421" s="25">
        <v>1</v>
      </c>
      <c r="G421" s="25">
        <v>0</v>
      </c>
      <c r="H421" s="25" t="s">
        <v>65</v>
      </c>
    </row>
    <row r="422" spans="1:8" ht="15.75" x14ac:dyDescent="0.25">
      <c r="A422" s="25" t="s">
        <v>490</v>
      </c>
      <c r="B422" s="25">
        <v>30</v>
      </c>
      <c r="C422" s="25" t="s">
        <v>78</v>
      </c>
      <c r="D422" s="26">
        <v>30076</v>
      </c>
      <c r="E422" s="25">
        <v>2</v>
      </c>
      <c r="F422" s="25">
        <v>2</v>
      </c>
      <c r="G422" s="25">
        <v>0</v>
      </c>
      <c r="H422" s="25" t="s">
        <v>65</v>
      </c>
    </row>
    <row r="423" spans="1:8" ht="15.75" x14ac:dyDescent="0.25">
      <c r="A423" s="25" t="s">
        <v>491</v>
      </c>
      <c r="B423" s="25">
        <v>34</v>
      </c>
      <c r="C423" s="25" t="s">
        <v>67</v>
      </c>
      <c r="D423" s="26">
        <v>48946</v>
      </c>
      <c r="E423" s="25">
        <v>7</v>
      </c>
      <c r="F423" s="25">
        <v>2</v>
      </c>
      <c r="G423" s="25">
        <v>0</v>
      </c>
      <c r="H423" s="25" t="s">
        <v>65</v>
      </c>
    </row>
    <row r="424" spans="1:8" ht="15.75" x14ac:dyDescent="0.25">
      <c r="A424" s="25" t="s">
        <v>492</v>
      </c>
      <c r="B424" s="25">
        <v>40</v>
      </c>
      <c r="C424" s="25" t="s">
        <v>70</v>
      </c>
      <c r="D424" s="26">
        <v>113492</v>
      </c>
      <c r="E424" s="25">
        <v>14</v>
      </c>
      <c r="F424" s="25">
        <v>3</v>
      </c>
      <c r="G424" s="25">
        <v>0</v>
      </c>
      <c r="H424" s="25" t="s">
        <v>65</v>
      </c>
    </row>
    <row r="425" spans="1:8" ht="15.75" x14ac:dyDescent="0.25">
      <c r="A425" s="25" t="s">
        <v>493</v>
      </c>
      <c r="B425" s="25">
        <v>24</v>
      </c>
      <c r="C425" s="25" t="s">
        <v>83</v>
      </c>
      <c r="D425" s="26">
        <v>53471</v>
      </c>
      <c r="E425" s="25">
        <v>0</v>
      </c>
      <c r="F425" s="25">
        <v>4</v>
      </c>
      <c r="G425" s="25">
        <v>0</v>
      </c>
      <c r="H425" s="25" t="s">
        <v>65</v>
      </c>
    </row>
    <row r="426" spans="1:8" ht="15.75" x14ac:dyDescent="0.25">
      <c r="A426" s="25" t="s">
        <v>494</v>
      </c>
      <c r="B426" s="25">
        <v>58</v>
      </c>
      <c r="C426" s="25" t="s">
        <v>64</v>
      </c>
      <c r="D426" s="26">
        <v>91531</v>
      </c>
      <c r="E426" s="25">
        <v>12</v>
      </c>
      <c r="F426" s="25">
        <v>1</v>
      </c>
      <c r="G426" s="25">
        <v>0</v>
      </c>
      <c r="H426" s="25" t="s">
        <v>65</v>
      </c>
    </row>
    <row r="427" spans="1:8" ht="15.75" x14ac:dyDescent="0.25">
      <c r="A427" s="25" t="s">
        <v>495</v>
      </c>
      <c r="B427" s="25">
        <v>59</v>
      </c>
      <c r="C427" s="25" t="s">
        <v>70</v>
      </c>
      <c r="D427" s="26">
        <v>68738</v>
      </c>
      <c r="E427" s="25">
        <v>17</v>
      </c>
      <c r="F427" s="25">
        <v>2</v>
      </c>
      <c r="G427" s="25">
        <v>1</v>
      </c>
      <c r="H427" s="25" t="s">
        <v>65</v>
      </c>
    </row>
    <row r="428" spans="1:8" ht="15.75" x14ac:dyDescent="0.25">
      <c r="A428" s="25" t="s">
        <v>496</v>
      </c>
      <c r="B428" s="25">
        <v>25</v>
      </c>
      <c r="C428" s="25" t="s">
        <v>78</v>
      </c>
      <c r="D428" s="26">
        <v>70720</v>
      </c>
      <c r="E428" s="25">
        <v>14</v>
      </c>
      <c r="F428" s="25">
        <v>3</v>
      </c>
      <c r="G428" s="25">
        <v>1</v>
      </c>
      <c r="H428" s="25" t="s">
        <v>65</v>
      </c>
    </row>
    <row r="429" spans="1:8" ht="15.75" x14ac:dyDescent="0.25">
      <c r="A429" s="25" t="s">
        <v>497</v>
      </c>
      <c r="B429" s="25">
        <v>52</v>
      </c>
      <c r="C429" s="25" t="s">
        <v>67</v>
      </c>
      <c r="D429" s="26">
        <v>54440</v>
      </c>
      <c r="E429" s="25">
        <v>6</v>
      </c>
      <c r="F429" s="25">
        <v>1</v>
      </c>
      <c r="G429" s="25">
        <v>0</v>
      </c>
      <c r="H429" s="25" t="s">
        <v>65</v>
      </c>
    </row>
    <row r="430" spans="1:8" ht="15.75" x14ac:dyDescent="0.25">
      <c r="A430" s="25" t="s">
        <v>498</v>
      </c>
      <c r="B430" s="25">
        <v>26</v>
      </c>
      <c r="C430" s="25" t="s">
        <v>67</v>
      </c>
      <c r="D430" s="26">
        <v>41862</v>
      </c>
      <c r="E430" s="25">
        <v>14</v>
      </c>
      <c r="F430" s="25">
        <v>3</v>
      </c>
      <c r="G430" s="25">
        <v>0</v>
      </c>
      <c r="H430" s="25" t="s">
        <v>65</v>
      </c>
    </row>
    <row r="431" spans="1:8" ht="15.75" x14ac:dyDescent="0.25">
      <c r="A431" s="25" t="s">
        <v>499</v>
      </c>
      <c r="B431" s="25">
        <v>34</v>
      </c>
      <c r="C431" s="25" t="s">
        <v>64</v>
      </c>
      <c r="D431" s="26">
        <v>98273</v>
      </c>
      <c r="E431" s="25">
        <v>2</v>
      </c>
      <c r="F431" s="25">
        <v>4</v>
      </c>
      <c r="G431" s="25">
        <v>0</v>
      </c>
      <c r="H431" s="25" t="s">
        <v>65</v>
      </c>
    </row>
    <row r="432" spans="1:8" ht="15.75" x14ac:dyDescent="0.25">
      <c r="A432" s="25" t="s">
        <v>500</v>
      </c>
      <c r="B432" s="25">
        <v>26</v>
      </c>
      <c r="C432" s="25" t="s">
        <v>83</v>
      </c>
      <c r="D432" s="26">
        <v>51788</v>
      </c>
      <c r="E432" s="25">
        <v>13</v>
      </c>
      <c r="F432" s="25">
        <v>4</v>
      </c>
      <c r="G432" s="25">
        <v>1</v>
      </c>
      <c r="H432" s="25" t="s">
        <v>65</v>
      </c>
    </row>
    <row r="433" spans="1:8" ht="15.75" x14ac:dyDescent="0.25">
      <c r="A433" s="25" t="s">
        <v>501</v>
      </c>
      <c r="B433" s="25">
        <v>34</v>
      </c>
      <c r="C433" s="25" t="s">
        <v>70</v>
      </c>
      <c r="D433" s="26">
        <v>55522</v>
      </c>
      <c r="E433" s="25">
        <v>19</v>
      </c>
      <c r="F433" s="25">
        <v>1</v>
      </c>
      <c r="G433" s="25">
        <v>0</v>
      </c>
      <c r="H433" s="25" t="s">
        <v>65</v>
      </c>
    </row>
    <row r="434" spans="1:8" ht="15.75" x14ac:dyDescent="0.25">
      <c r="A434" s="25" t="s">
        <v>502</v>
      </c>
      <c r="B434" s="25">
        <v>32</v>
      </c>
      <c r="C434" s="25" t="s">
        <v>70</v>
      </c>
      <c r="D434" s="26">
        <v>100185</v>
      </c>
      <c r="E434" s="25">
        <v>3</v>
      </c>
      <c r="F434" s="25">
        <v>4</v>
      </c>
      <c r="G434" s="25">
        <v>0</v>
      </c>
      <c r="H434" s="25" t="s">
        <v>65</v>
      </c>
    </row>
    <row r="435" spans="1:8" ht="15.75" x14ac:dyDescent="0.25">
      <c r="A435" s="25" t="s">
        <v>503</v>
      </c>
      <c r="B435" s="25">
        <v>47</v>
      </c>
      <c r="C435" s="25" t="s">
        <v>70</v>
      </c>
      <c r="D435" s="26">
        <v>99404</v>
      </c>
      <c r="E435" s="25">
        <v>3</v>
      </c>
      <c r="F435" s="25">
        <v>1</v>
      </c>
      <c r="G435" s="25">
        <v>0</v>
      </c>
      <c r="H435" s="25" t="s">
        <v>65</v>
      </c>
    </row>
    <row r="436" spans="1:8" ht="15.75" x14ac:dyDescent="0.25">
      <c r="A436" s="25" t="s">
        <v>504</v>
      </c>
      <c r="B436" s="25">
        <v>46</v>
      </c>
      <c r="C436" s="25" t="s">
        <v>83</v>
      </c>
      <c r="D436" s="26">
        <v>82289</v>
      </c>
      <c r="E436" s="25">
        <v>2</v>
      </c>
      <c r="F436" s="25">
        <v>1</v>
      </c>
      <c r="G436" s="25">
        <v>1</v>
      </c>
      <c r="H436" s="25" t="s">
        <v>65</v>
      </c>
    </row>
    <row r="437" spans="1:8" ht="15.75" x14ac:dyDescent="0.25">
      <c r="A437" s="25" t="s">
        <v>505</v>
      </c>
      <c r="B437" s="25">
        <v>32</v>
      </c>
      <c r="C437" s="25" t="s">
        <v>83</v>
      </c>
      <c r="D437" s="26">
        <v>37824</v>
      </c>
      <c r="E437" s="25">
        <v>4</v>
      </c>
      <c r="F437" s="25">
        <v>4</v>
      </c>
      <c r="G437" s="25">
        <v>0</v>
      </c>
      <c r="H437" s="25" t="s">
        <v>68</v>
      </c>
    </row>
    <row r="438" spans="1:8" ht="15.75" x14ac:dyDescent="0.25">
      <c r="A438" s="25" t="s">
        <v>506</v>
      </c>
      <c r="B438" s="25">
        <v>28</v>
      </c>
      <c r="C438" s="25" t="s">
        <v>83</v>
      </c>
      <c r="D438" s="26">
        <v>37799</v>
      </c>
      <c r="E438" s="25">
        <v>10</v>
      </c>
      <c r="F438" s="25">
        <v>3</v>
      </c>
      <c r="G438" s="25">
        <v>0</v>
      </c>
      <c r="H438" s="25" t="s">
        <v>65</v>
      </c>
    </row>
    <row r="439" spans="1:8" ht="15.75" x14ac:dyDescent="0.25">
      <c r="A439" s="25" t="s">
        <v>507</v>
      </c>
      <c r="B439" s="25">
        <v>30</v>
      </c>
      <c r="C439" s="25" t="s">
        <v>64</v>
      </c>
      <c r="D439" s="26">
        <v>115406</v>
      </c>
      <c r="E439" s="25">
        <v>7</v>
      </c>
      <c r="F439" s="25">
        <v>3</v>
      </c>
      <c r="G439" s="25">
        <v>0</v>
      </c>
      <c r="H439" s="25" t="s">
        <v>65</v>
      </c>
    </row>
    <row r="440" spans="1:8" ht="15.75" x14ac:dyDescent="0.25">
      <c r="A440" s="25" t="s">
        <v>508</v>
      </c>
      <c r="B440" s="25">
        <v>36</v>
      </c>
      <c r="C440" s="25" t="s">
        <v>67</v>
      </c>
      <c r="D440" s="26">
        <v>75147</v>
      </c>
      <c r="E440" s="25">
        <v>1</v>
      </c>
      <c r="F440" s="25">
        <v>1</v>
      </c>
      <c r="G440" s="25">
        <v>0</v>
      </c>
      <c r="H440" s="25" t="s">
        <v>65</v>
      </c>
    </row>
    <row r="441" spans="1:8" ht="15.75" x14ac:dyDescent="0.25">
      <c r="A441" s="25" t="s">
        <v>509</v>
      </c>
      <c r="B441" s="25">
        <v>46</v>
      </c>
      <c r="C441" s="25" t="s">
        <v>78</v>
      </c>
      <c r="D441" s="26">
        <v>112922</v>
      </c>
      <c r="E441" s="25">
        <v>15</v>
      </c>
      <c r="F441" s="25">
        <v>2</v>
      </c>
      <c r="G441" s="25">
        <v>1</v>
      </c>
      <c r="H441" s="25" t="s">
        <v>65</v>
      </c>
    </row>
    <row r="442" spans="1:8" ht="15.75" x14ac:dyDescent="0.25">
      <c r="A442" s="25" t="s">
        <v>510</v>
      </c>
      <c r="B442" s="25">
        <v>28</v>
      </c>
      <c r="C442" s="25" t="s">
        <v>83</v>
      </c>
      <c r="D442" s="26">
        <v>38614</v>
      </c>
      <c r="E442" s="25">
        <v>9</v>
      </c>
      <c r="F442" s="25">
        <v>1</v>
      </c>
      <c r="G442" s="25">
        <v>0</v>
      </c>
      <c r="H442" s="25" t="s">
        <v>65</v>
      </c>
    </row>
    <row r="443" spans="1:8" ht="15.75" x14ac:dyDescent="0.25">
      <c r="A443" s="25" t="s">
        <v>511</v>
      </c>
      <c r="B443" s="25">
        <v>49</v>
      </c>
      <c r="C443" s="25" t="s">
        <v>67</v>
      </c>
      <c r="D443" s="26">
        <v>55147</v>
      </c>
      <c r="E443" s="25">
        <v>17</v>
      </c>
      <c r="F443" s="25">
        <v>3</v>
      </c>
      <c r="G443" s="25">
        <v>1</v>
      </c>
      <c r="H443" s="25" t="s">
        <v>65</v>
      </c>
    </row>
    <row r="444" spans="1:8" ht="15.75" x14ac:dyDescent="0.25">
      <c r="A444" s="25" t="s">
        <v>512</v>
      </c>
      <c r="B444" s="25">
        <v>40</v>
      </c>
      <c r="C444" s="25" t="s">
        <v>83</v>
      </c>
      <c r="D444" s="26">
        <v>106637</v>
      </c>
      <c r="E444" s="25">
        <v>6</v>
      </c>
      <c r="F444" s="25">
        <v>1</v>
      </c>
      <c r="G444" s="25">
        <v>0</v>
      </c>
      <c r="H444" s="25" t="s">
        <v>65</v>
      </c>
    </row>
    <row r="445" spans="1:8" ht="15.75" x14ac:dyDescent="0.25">
      <c r="A445" s="25" t="s">
        <v>513</v>
      </c>
      <c r="B445" s="25">
        <v>37</v>
      </c>
      <c r="C445" s="25" t="s">
        <v>78</v>
      </c>
      <c r="D445" s="26">
        <v>50914</v>
      </c>
      <c r="E445" s="25">
        <v>4</v>
      </c>
      <c r="F445" s="25">
        <v>3</v>
      </c>
      <c r="G445" s="25">
        <v>0</v>
      </c>
      <c r="H445" s="25" t="s">
        <v>65</v>
      </c>
    </row>
    <row r="446" spans="1:8" ht="15.75" x14ac:dyDescent="0.25">
      <c r="A446" s="25" t="s">
        <v>514</v>
      </c>
      <c r="B446" s="25">
        <v>39</v>
      </c>
      <c r="C446" s="25" t="s">
        <v>83</v>
      </c>
      <c r="D446" s="26">
        <v>93699</v>
      </c>
      <c r="E446" s="25">
        <v>6</v>
      </c>
      <c r="F446" s="25">
        <v>4</v>
      </c>
      <c r="G446" s="25">
        <v>1</v>
      </c>
      <c r="H446" s="25" t="s">
        <v>65</v>
      </c>
    </row>
    <row r="447" spans="1:8" ht="15.75" x14ac:dyDescent="0.25">
      <c r="A447" s="25" t="s">
        <v>515</v>
      </c>
      <c r="B447" s="25">
        <v>37</v>
      </c>
      <c r="C447" s="25" t="s">
        <v>67</v>
      </c>
      <c r="D447" s="26">
        <v>39615</v>
      </c>
      <c r="E447" s="25">
        <v>5</v>
      </c>
      <c r="F447" s="25">
        <v>1</v>
      </c>
      <c r="G447" s="25">
        <v>0</v>
      </c>
      <c r="H447" s="25" t="s">
        <v>65</v>
      </c>
    </row>
    <row r="448" spans="1:8" ht="15.75" x14ac:dyDescent="0.25">
      <c r="A448" s="25" t="s">
        <v>516</v>
      </c>
      <c r="B448" s="25">
        <v>59</v>
      </c>
      <c r="C448" s="25" t="s">
        <v>64</v>
      </c>
      <c r="D448" s="26">
        <v>80785</v>
      </c>
      <c r="E448" s="25">
        <v>0</v>
      </c>
      <c r="F448" s="25">
        <v>1</v>
      </c>
      <c r="G448" s="25">
        <v>0</v>
      </c>
      <c r="H448" s="25" t="s">
        <v>65</v>
      </c>
    </row>
    <row r="449" spans="1:8" ht="15.75" x14ac:dyDescent="0.25">
      <c r="A449" s="25" t="s">
        <v>517</v>
      </c>
      <c r="B449" s="25">
        <v>21</v>
      </c>
      <c r="C449" s="25" t="s">
        <v>78</v>
      </c>
      <c r="D449" s="26">
        <v>118589</v>
      </c>
      <c r="E449" s="25">
        <v>10</v>
      </c>
      <c r="F449" s="25">
        <v>4</v>
      </c>
      <c r="G449" s="25">
        <v>0</v>
      </c>
      <c r="H449" s="25" t="s">
        <v>65</v>
      </c>
    </row>
    <row r="450" spans="1:8" ht="15.75" x14ac:dyDescent="0.25">
      <c r="A450" s="25" t="s">
        <v>518</v>
      </c>
      <c r="B450" s="25">
        <v>49</v>
      </c>
      <c r="C450" s="25" t="s">
        <v>67</v>
      </c>
      <c r="D450" s="26">
        <v>87811</v>
      </c>
      <c r="E450" s="25">
        <v>12</v>
      </c>
      <c r="F450" s="25">
        <v>4</v>
      </c>
      <c r="G450" s="25">
        <v>1</v>
      </c>
      <c r="H450" s="25" t="s">
        <v>65</v>
      </c>
    </row>
    <row r="451" spans="1:8" ht="15.75" x14ac:dyDescent="0.25">
      <c r="A451" s="25" t="s">
        <v>519</v>
      </c>
      <c r="B451" s="25">
        <v>34</v>
      </c>
      <c r="C451" s="25" t="s">
        <v>70</v>
      </c>
      <c r="D451" s="26">
        <v>109017</v>
      </c>
      <c r="E451" s="25">
        <v>11</v>
      </c>
      <c r="F451" s="25">
        <v>2</v>
      </c>
      <c r="G451" s="25">
        <v>0</v>
      </c>
      <c r="H451" s="25" t="s">
        <v>65</v>
      </c>
    </row>
    <row r="452" spans="1:8" ht="15.75" x14ac:dyDescent="0.25">
      <c r="A452" s="25" t="s">
        <v>520</v>
      </c>
      <c r="B452" s="25">
        <v>37</v>
      </c>
      <c r="C452" s="25" t="s">
        <v>70</v>
      </c>
      <c r="D452" s="26">
        <v>76898</v>
      </c>
      <c r="E452" s="25">
        <v>0</v>
      </c>
      <c r="F452" s="25">
        <v>4</v>
      </c>
      <c r="G452" s="25">
        <v>1</v>
      </c>
      <c r="H452" s="25" t="s">
        <v>68</v>
      </c>
    </row>
    <row r="453" spans="1:8" ht="15.75" x14ac:dyDescent="0.25">
      <c r="A453" s="25" t="s">
        <v>521</v>
      </c>
      <c r="B453" s="25">
        <v>33</v>
      </c>
      <c r="C453" s="25" t="s">
        <v>70</v>
      </c>
      <c r="D453" s="26">
        <v>85505</v>
      </c>
      <c r="E453" s="25">
        <v>14</v>
      </c>
      <c r="F453" s="25">
        <v>2</v>
      </c>
      <c r="G453" s="25">
        <v>0</v>
      </c>
      <c r="H453" s="25" t="s">
        <v>65</v>
      </c>
    </row>
    <row r="454" spans="1:8" ht="15.75" x14ac:dyDescent="0.25">
      <c r="A454" s="25" t="s">
        <v>522</v>
      </c>
      <c r="B454" s="25">
        <v>49</v>
      </c>
      <c r="C454" s="25" t="s">
        <v>64</v>
      </c>
      <c r="D454" s="26">
        <v>106031</v>
      </c>
      <c r="E454" s="25">
        <v>0</v>
      </c>
      <c r="F454" s="25">
        <v>4</v>
      </c>
      <c r="G454" s="25">
        <v>1</v>
      </c>
      <c r="H454" s="25" t="s">
        <v>65</v>
      </c>
    </row>
    <row r="455" spans="1:8" ht="15.75" x14ac:dyDescent="0.25">
      <c r="A455" s="25" t="s">
        <v>523</v>
      </c>
      <c r="B455" s="25">
        <v>54</v>
      </c>
      <c r="C455" s="25" t="s">
        <v>83</v>
      </c>
      <c r="D455" s="26">
        <v>30146</v>
      </c>
      <c r="E455" s="25">
        <v>2</v>
      </c>
      <c r="F455" s="25">
        <v>3</v>
      </c>
      <c r="G455" s="25">
        <v>0</v>
      </c>
      <c r="H455" s="25" t="s">
        <v>65</v>
      </c>
    </row>
    <row r="456" spans="1:8" ht="15.75" x14ac:dyDescent="0.25">
      <c r="A456" s="25" t="s">
        <v>524</v>
      </c>
      <c r="B456" s="25">
        <v>47</v>
      </c>
      <c r="C456" s="25" t="s">
        <v>83</v>
      </c>
      <c r="D456" s="26">
        <v>70275</v>
      </c>
      <c r="E456" s="25">
        <v>14</v>
      </c>
      <c r="F456" s="25">
        <v>1</v>
      </c>
      <c r="G456" s="25">
        <v>0</v>
      </c>
      <c r="H456" s="25" t="s">
        <v>65</v>
      </c>
    </row>
    <row r="457" spans="1:8" ht="15.75" x14ac:dyDescent="0.25">
      <c r="A457" s="25" t="s">
        <v>525</v>
      </c>
      <c r="B457" s="25">
        <v>53</v>
      </c>
      <c r="C457" s="25" t="s">
        <v>83</v>
      </c>
      <c r="D457" s="26">
        <v>45977</v>
      </c>
      <c r="E457" s="25">
        <v>8</v>
      </c>
      <c r="F457" s="25">
        <v>4</v>
      </c>
      <c r="G457" s="25">
        <v>0</v>
      </c>
      <c r="H457" s="25" t="s">
        <v>65</v>
      </c>
    </row>
    <row r="458" spans="1:8" ht="15.75" x14ac:dyDescent="0.25">
      <c r="A458" s="25" t="s">
        <v>526</v>
      </c>
      <c r="B458" s="25">
        <v>49</v>
      </c>
      <c r="C458" s="25" t="s">
        <v>64</v>
      </c>
      <c r="D458" s="26">
        <v>71565</v>
      </c>
      <c r="E458" s="25">
        <v>13</v>
      </c>
      <c r="F458" s="25">
        <v>3</v>
      </c>
      <c r="G458" s="25">
        <v>1</v>
      </c>
      <c r="H458" s="25" t="s">
        <v>65</v>
      </c>
    </row>
    <row r="459" spans="1:8" ht="15.75" x14ac:dyDescent="0.25">
      <c r="A459" s="25" t="s">
        <v>527</v>
      </c>
      <c r="B459" s="25">
        <v>57</v>
      </c>
      <c r="C459" s="25" t="s">
        <v>70</v>
      </c>
      <c r="D459" s="26">
        <v>63945</v>
      </c>
      <c r="E459" s="25">
        <v>7</v>
      </c>
      <c r="F459" s="25">
        <v>4</v>
      </c>
      <c r="G459" s="25">
        <v>1</v>
      </c>
      <c r="H459" s="25" t="s">
        <v>65</v>
      </c>
    </row>
    <row r="460" spans="1:8" ht="15.75" x14ac:dyDescent="0.25">
      <c r="A460" s="25" t="s">
        <v>528</v>
      </c>
      <c r="B460" s="25">
        <v>59</v>
      </c>
      <c r="C460" s="25" t="s">
        <v>83</v>
      </c>
      <c r="D460" s="26">
        <v>32594</v>
      </c>
      <c r="E460" s="25">
        <v>3</v>
      </c>
      <c r="F460" s="25">
        <v>1</v>
      </c>
      <c r="G460" s="25">
        <v>0</v>
      </c>
      <c r="H460" s="25" t="s">
        <v>65</v>
      </c>
    </row>
    <row r="461" spans="1:8" ht="15.75" x14ac:dyDescent="0.25">
      <c r="A461" s="25" t="s">
        <v>529</v>
      </c>
      <c r="B461" s="25">
        <v>39</v>
      </c>
      <c r="C461" s="25" t="s">
        <v>64</v>
      </c>
      <c r="D461" s="26">
        <v>106610</v>
      </c>
      <c r="E461" s="25">
        <v>19</v>
      </c>
      <c r="F461" s="25">
        <v>4</v>
      </c>
      <c r="G461" s="25">
        <v>0</v>
      </c>
      <c r="H461" s="25" t="s">
        <v>65</v>
      </c>
    </row>
    <row r="462" spans="1:8" ht="15.75" x14ac:dyDescent="0.25">
      <c r="A462" s="25" t="s">
        <v>530</v>
      </c>
      <c r="B462" s="25">
        <v>44</v>
      </c>
      <c r="C462" s="25" t="s">
        <v>64</v>
      </c>
      <c r="D462" s="26">
        <v>87655</v>
      </c>
      <c r="E462" s="25">
        <v>19</v>
      </c>
      <c r="F462" s="25">
        <v>4</v>
      </c>
      <c r="G462" s="25">
        <v>0</v>
      </c>
      <c r="H462" s="25" t="s">
        <v>65</v>
      </c>
    </row>
    <row r="463" spans="1:8" ht="15.75" x14ac:dyDescent="0.25">
      <c r="A463" s="25" t="s">
        <v>531</v>
      </c>
      <c r="B463" s="25">
        <v>34</v>
      </c>
      <c r="C463" s="25" t="s">
        <v>67</v>
      </c>
      <c r="D463" s="26">
        <v>57431</v>
      </c>
      <c r="E463" s="25">
        <v>5</v>
      </c>
      <c r="F463" s="25">
        <v>1</v>
      </c>
      <c r="G463" s="25">
        <v>0</v>
      </c>
      <c r="H463" s="25" t="s">
        <v>65</v>
      </c>
    </row>
    <row r="464" spans="1:8" ht="15.75" x14ac:dyDescent="0.25">
      <c r="A464" s="25" t="s">
        <v>532</v>
      </c>
      <c r="B464" s="25">
        <v>57</v>
      </c>
      <c r="C464" s="25" t="s">
        <v>83</v>
      </c>
      <c r="D464" s="26">
        <v>112684</v>
      </c>
      <c r="E464" s="25">
        <v>0</v>
      </c>
      <c r="F464" s="25">
        <v>4</v>
      </c>
      <c r="G464" s="25">
        <v>0</v>
      </c>
      <c r="H464" s="25" t="s">
        <v>68</v>
      </c>
    </row>
    <row r="465" spans="1:8" ht="15.75" x14ac:dyDescent="0.25">
      <c r="A465" s="25" t="s">
        <v>533</v>
      </c>
      <c r="B465" s="25">
        <v>25</v>
      </c>
      <c r="C465" s="25" t="s">
        <v>70</v>
      </c>
      <c r="D465" s="26">
        <v>118197</v>
      </c>
      <c r="E465" s="25">
        <v>17</v>
      </c>
      <c r="F465" s="25">
        <v>1</v>
      </c>
      <c r="G465" s="25">
        <v>0</v>
      </c>
      <c r="H465" s="25" t="s">
        <v>65</v>
      </c>
    </row>
    <row r="466" spans="1:8" ht="15.75" x14ac:dyDescent="0.25">
      <c r="A466" s="25" t="s">
        <v>534</v>
      </c>
      <c r="B466" s="25">
        <v>44</v>
      </c>
      <c r="C466" s="25" t="s">
        <v>78</v>
      </c>
      <c r="D466" s="26">
        <v>57571</v>
      </c>
      <c r="E466" s="25">
        <v>5</v>
      </c>
      <c r="F466" s="25">
        <v>2</v>
      </c>
      <c r="G466" s="25">
        <v>0</v>
      </c>
      <c r="H466" s="25" t="s">
        <v>65</v>
      </c>
    </row>
    <row r="467" spans="1:8" ht="15.75" x14ac:dyDescent="0.25">
      <c r="A467" s="25" t="s">
        <v>535</v>
      </c>
      <c r="B467" s="25">
        <v>54</v>
      </c>
      <c r="C467" s="25" t="s">
        <v>64</v>
      </c>
      <c r="D467" s="26">
        <v>95971</v>
      </c>
      <c r="E467" s="25">
        <v>13</v>
      </c>
      <c r="F467" s="25">
        <v>4</v>
      </c>
      <c r="G467" s="25">
        <v>0</v>
      </c>
      <c r="H467" s="25" t="s">
        <v>65</v>
      </c>
    </row>
    <row r="468" spans="1:8" ht="15.75" x14ac:dyDescent="0.25">
      <c r="A468" s="25" t="s">
        <v>536</v>
      </c>
      <c r="B468" s="25">
        <v>51</v>
      </c>
      <c r="C468" s="25" t="s">
        <v>67</v>
      </c>
      <c r="D468" s="26">
        <v>91797</v>
      </c>
      <c r="E468" s="25">
        <v>10</v>
      </c>
      <c r="F468" s="25">
        <v>3</v>
      </c>
      <c r="G468" s="25">
        <v>1</v>
      </c>
      <c r="H468" s="25" t="s">
        <v>68</v>
      </c>
    </row>
    <row r="469" spans="1:8" ht="15.75" x14ac:dyDescent="0.25">
      <c r="A469" s="25" t="s">
        <v>537</v>
      </c>
      <c r="B469" s="25">
        <v>50</v>
      </c>
      <c r="C469" s="25" t="s">
        <v>78</v>
      </c>
      <c r="D469" s="26">
        <v>73937</v>
      </c>
      <c r="E469" s="25">
        <v>16</v>
      </c>
      <c r="F469" s="25">
        <v>4</v>
      </c>
      <c r="G469" s="25">
        <v>0</v>
      </c>
      <c r="H469" s="25" t="s">
        <v>65</v>
      </c>
    </row>
    <row r="470" spans="1:8" ht="15.75" x14ac:dyDescent="0.25">
      <c r="A470" s="25" t="s">
        <v>538</v>
      </c>
      <c r="B470" s="25">
        <v>29</v>
      </c>
      <c r="C470" s="25" t="s">
        <v>64</v>
      </c>
      <c r="D470" s="26">
        <v>89643</v>
      </c>
      <c r="E470" s="25">
        <v>8</v>
      </c>
      <c r="F470" s="25">
        <v>1</v>
      </c>
      <c r="G470" s="25">
        <v>0</v>
      </c>
      <c r="H470" s="25" t="s">
        <v>65</v>
      </c>
    </row>
    <row r="471" spans="1:8" ht="15.75" x14ac:dyDescent="0.25">
      <c r="A471" s="25" t="s">
        <v>539</v>
      </c>
      <c r="B471" s="25">
        <v>47</v>
      </c>
      <c r="C471" s="25" t="s">
        <v>67</v>
      </c>
      <c r="D471" s="26">
        <v>112054</v>
      </c>
      <c r="E471" s="25">
        <v>6</v>
      </c>
      <c r="F471" s="25">
        <v>1</v>
      </c>
      <c r="G471" s="25">
        <v>0</v>
      </c>
      <c r="H471" s="25" t="s">
        <v>68</v>
      </c>
    </row>
    <row r="472" spans="1:8" ht="15.75" x14ac:dyDescent="0.25">
      <c r="A472" s="25" t="s">
        <v>540</v>
      </c>
      <c r="B472" s="25">
        <v>48</v>
      </c>
      <c r="C472" s="25" t="s">
        <v>83</v>
      </c>
      <c r="D472" s="26">
        <v>116538</v>
      </c>
      <c r="E472" s="25">
        <v>13</v>
      </c>
      <c r="F472" s="25">
        <v>3</v>
      </c>
      <c r="G472" s="25">
        <v>0</v>
      </c>
      <c r="H472" s="25" t="s">
        <v>68</v>
      </c>
    </row>
    <row r="473" spans="1:8" ht="15.75" x14ac:dyDescent="0.25">
      <c r="A473" s="25" t="s">
        <v>541</v>
      </c>
      <c r="B473" s="25">
        <v>46</v>
      </c>
      <c r="C473" s="25" t="s">
        <v>67</v>
      </c>
      <c r="D473" s="26">
        <v>90051</v>
      </c>
      <c r="E473" s="25">
        <v>16</v>
      </c>
      <c r="F473" s="25">
        <v>3</v>
      </c>
      <c r="G473" s="25">
        <v>0</v>
      </c>
      <c r="H473" s="25" t="s">
        <v>65</v>
      </c>
    </row>
    <row r="474" spans="1:8" ht="15.75" x14ac:dyDescent="0.25">
      <c r="A474" s="25" t="s">
        <v>542</v>
      </c>
      <c r="B474" s="25">
        <v>38</v>
      </c>
      <c r="C474" s="25" t="s">
        <v>64</v>
      </c>
      <c r="D474" s="26">
        <v>97902</v>
      </c>
      <c r="E474" s="25">
        <v>7</v>
      </c>
      <c r="F474" s="25">
        <v>1</v>
      </c>
      <c r="G474" s="25">
        <v>0</v>
      </c>
      <c r="H474" s="25" t="s">
        <v>65</v>
      </c>
    </row>
    <row r="475" spans="1:8" ht="15.75" x14ac:dyDescent="0.25">
      <c r="A475" s="25" t="s">
        <v>543</v>
      </c>
      <c r="B475" s="25">
        <v>56</v>
      </c>
      <c r="C475" s="25" t="s">
        <v>83</v>
      </c>
      <c r="D475" s="26">
        <v>107903</v>
      </c>
      <c r="E475" s="25">
        <v>15</v>
      </c>
      <c r="F475" s="25">
        <v>2</v>
      </c>
      <c r="G475" s="25">
        <v>0</v>
      </c>
      <c r="H475" s="25" t="s">
        <v>68</v>
      </c>
    </row>
    <row r="476" spans="1:8" ht="15.75" x14ac:dyDescent="0.25">
      <c r="A476" s="25" t="s">
        <v>544</v>
      </c>
      <c r="B476" s="25">
        <v>28</v>
      </c>
      <c r="C476" s="25" t="s">
        <v>70</v>
      </c>
      <c r="D476" s="26">
        <v>106990</v>
      </c>
      <c r="E476" s="25">
        <v>11</v>
      </c>
      <c r="F476" s="25">
        <v>2</v>
      </c>
      <c r="G476" s="25">
        <v>0</v>
      </c>
      <c r="H476" s="25" t="s">
        <v>68</v>
      </c>
    </row>
    <row r="477" spans="1:8" ht="15.75" x14ac:dyDescent="0.25">
      <c r="A477" s="25" t="s">
        <v>545</v>
      </c>
      <c r="B477" s="25">
        <v>38</v>
      </c>
      <c r="C477" s="25" t="s">
        <v>67</v>
      </c>
      <c r="D477" s="26">
        <v>105204</v>
      </c>
      <c r="E477" s="25">
        <v>11</v>
      </c>
      <c r="F477" s="25">
        <v>1</v>
      </c>
      <c r="G477" s="25">
        <v>1</v>
      </c>
      <c r="H477" s="25" t="s">
        <v>65</v>
      </c>
    </row>
    <row r="478" spans="1:8" ht="15.75" x14ac:dyDescent="0.25">
      <c r="A478" s="25" t="s">
        <v>546</v>
      </c>
      <c r="B478" s="25">
        <v>40</v>
      </c>
      <c r="C478" s="25" t="s">
        <v>78</v>
      </c>
      <c r="D478" s="26">
        <v>98951</v>
      </c>
      <c r="E478" s="25">
        <v>4</v>
      </c>
      <c r="F478" s="25">
        <v>2</v>
      </c>
      <c r="G478" s="25">
        <v>0</v>
      </c>
      <c r="H478" s="25" t="s">
        <v>65</v>
      </c>
    </row>
    <row r="479" spans="1:8" ht="15.75" x14ac:dyDescent="0.25">
      <c r="A479" s="25" t="s">
        <v>547</v>
      </c>
      <c r="B479" s="25">
        <v>52</v>
      </c>
      <c r="C479" s="25" t="s">
        <v>83</v>
      </c>
      <c r="D479" s="26">
        <v>105768</v>
      </c>
      <c r="E479" s="25">
        <v>4</v>
      </c>
      <c r="F479" s="25">
        <v>3</v>
      </c>
      <c r="G479" s="25">
        <v>0</v>
      </c>
      <c r="H479" s="25" t="s">
        <v>65</v>
      </c>
    </row>
    <row r="480" spans="1:8" ht="15.75" x14ac:dyDescent="0.25">
      <c r="A480" s="25" t="s">
        <v>548</v>
      </c>
      <c r="B480" s="25">
        <v>49</v>
      </c>
      <c r="C480" s="25" t="s">
        <v>83</v>
      </c>
      <c r="D480" s="26">
        <v>59039</v>
      </c>
      <c r="E480" s="25">
        <v>13</v>
      </c>
      <c r="F480" s="25">
        <v>2</v>
      </c>
      <c r="G480" s="25">
        <v>1</v>
      </c>
      <c r="H480" s="25" t="s">
        <v>65</v>
      </c>
    </row>
    <row r="481" spans="1:8" ht="15.75" x14ac:dyDescent="0.25">
      <c r="A481" s="25" t="s">
        <v>549</v>
      </c>
      <c r="B481" s="25">
        <v>38</v>
      </c>
      <c r="C481" s="25" t="s">
        <v>70</v>
      </c>
      <c r="D481" s="26">
        <v>55568</v>
      </c>
      <c r="E481" s="25">
        <v>5</v>
      </c>
      <c r="F481" s="25">
        <v>3</v>
      </c>
      <c r="G481" s="25">
        <v>0</v>
      </c>
      <c r="H481" s="25" t="s">
        <v>68</v>
      </c>
    </row>
    <row r="482" spans="1:8" ht="15.75" x14ac:dyDescent="0.25">
      <c r="A482" s="25" t="s">
        <v>550</v>
      </c>
      <c r="B482" s="25">
        <v>27</v>
      </c>
      <c r="C482" s="25" t="s">
        <v>67</v>
      </c>
      <c r="D482" s="26">
        <v>67459</v>
      </c>
      <c r="E482" s="25">
        <v>6</v>
      </c>
      <c r="F482" s="25">
        <v>4</v>
      </c>
      <c r="G482" s="25">
        <v>0</v>
      </c>
      <c r="H482" s="25" t="s">
        <v>65</v>
      </c>
    </row>
    <row r="483" spans="1:8" ht="15.75" x14ac:dyDescent="0.25">
      <c r="A483" s="25" t="s">
        <v>551</v>
      </c>
      <c r="B483" s="25">
        <v>21</v>
      </c>
      <c r="C483" s="25" t="s">
        <v>78</v>
      </c>
      <c r="D483" s="26">
        <v>37669</v>
      </c>
      <c r="E483" s="25">
        <v>16</v>
      </c>
      <c r="F483" s="25">
        <v>3</v>
      </c>
      <c r="G483" s="25">
        <v>0</v>
      </c>
      <c r="H483" s="25" t="s">
        <v>65</v>
      </c>
    </row>
    <row r="484" spans="1:8" ht="15.75" x14ac:dyDescent="0.25">
      <c r="A484" s="25" t="s">
        <v>552</v>
      </c>
      <c r="B484" s="25">
        <v>48</v>
      </c>
      <c r="C484" s="25" t="s">
        <v>70</v>
      </c>
      <c r="D484" s="26">
        <v>119749</v>
      </c>
      <c r="E484" s="25">
        <v>8</v>
      </c>
      <c r="F484" s="25">
        <v>4</v>
      </c>
      <c r="G484" s="25">
        <v>0</v>
      </c>
      <c r="H484" s="25" t="s">
        <v>65</v>
      </c>
    </row>
    <row r="485" spans="1:8" ht="15.75" x14ac:dyDescent="0.25">
      <c r="A485" s="25" t="s">
        <v>553</v>
      </c>
      <c r="B485" s="25">
        <v>53</v>
      </c>
      <c r="C485" s="25" t="s">
        <v>67</v>
      </c>
      <c r="D485" s="26">
        <v>113816</v>
      </c>
      <c r="E485" s="25">
        <v>12</v>
      </c>
      <c r="F485" s="25">
        <v>3</v>
      </c>
      <c r="G485" s="25">
        <v>0</v>
      </c>
      <c r="H485" s="25" t="s">
        <v>65</v>
      </c>
    </row>
    <row r="486" spans="1:8" ht="15.75" x14ac:dyDescent="0.25">
      <c r="A486" s="25" t="s">
        <v>554</v>
      </c>
      <c r="B486" s="25">
        <v>24</v>
      </c>
      <c r="C486" s="25" t="s">
        <v>78</v>
      </c>
      <c r="D486" s="26">
        <v>114985</v>
      </c>
      <c r="E486" s="25">
        <v>8</v>
      </c>
      <c r="F486" s="25">
        <v>3</v>
      </c>
      <c r="G486" s="25">
        <v>0</v>
      </c>
      <c r="H486" s="25" t="s">
        <v>65</v>
      </c>
    </row>
    <row r="487" spans="1:8" ht="15.75" x14ac:dyDescent="0.25">
      <c r="A487" s="25" t="s">
        <v>555</v>
      </c>
      <c r="B487" s="25">
        <v>40</v>
      </c>
      <c r="C487" s="25" t="s">
        <v>78</v>
      </c>
      <c r="D487" s="26">
        <v>65516</v>
      </c>
      <c r="E487" s="25">
        <v>15</v>
      </c>
      <c r="F487" s="25">
        <v>2</v>
      </c>
      <c r="G487" s="25">
        <v>1</v>
      </c>
      <c r="H487" s="25" t="s">
        <v>68</v>
      </c>
    </row>
    <row r="488" spans="1:8" ht="15.75" x14ac:dyDescent="0.25">
      <c r="A488" s="25" t="s">
        <v>556</v>
      </c>
      <c r="B488" s="25">
        <v>56</v>
      </c>
      <c r="C488" s="25" t="s">
        <v>64</v>
      </c>
      <c r="D488" s="26">
        <v>92484</v>
      </c>
      <c r="E488" s="25">
        <v>3</v>
      </c>
      <c r="F488" s="25">
        <v>3</v>
      </c>
      <c r="G488" s="25">
        <v>0</v>
      </c>
      <c r="H488" s="25" t="s">
        <v>65</v>
      </c>
    </row>
    <row r="489" spans="1:8" ht="15.75" x14ac:dyDescent="0.25">
      <c r="A489" s="25" t="s">
        <v>557</v>
      </c>
      <c r="B489" s="25">
        <v>51</v>
      </c>
      <c r="C489" s="25" t="s">
        <v>78</v>
      </c>
      <c r="D489" s="26">
        <v>118612</v>
      </c>
      <c r="E489" s="25">
        <v>1</v>
      </c>
      <c r="F489" s="25">
        <v>1</v>
      </c>
      <c r="G489" s="25">
        <v>0</v>
      </c>
      <c r="H489" s="25" t="s">
        <v>65</v>
      </c>
    </row>
    <row r="490" spans="1:8" ht="15.75" x14ac:dyDescent="0.25">
      <c r="A490" s="25" t="s">
        <v>558</v>
      </c>
      <c r="B490" s="25">
        <v>58</v>
      </c>
      <c r="C490" s="25" t="s">
        <v>67</v>
      </c>
      <c r="D490" s="26">
        <v>98197</v>
      </c>
      <c r="E490" s="25">
        <v>12</v>
      </c>
      <c r="F490" s="25">
        <v>4</v>
      </c>
      <c r="G490" s="25">
        <v>0</v>
      </c>
      <c r="H490" s="25" t="s">
        <v>65</v>
      </c>
    </row>
    <row r="491" spans="1:8" ht="15.75" x14ac:dyDescent="0.25">
      <c r="A491" s="25" t="s">
        <v>559</v>
      </c>
      <c r="B491" s="25">
        <v>48</v>
      </c>
      <c r="C491" s="25" t="s">
        <v>70</v>
      </c>
      <c r="D491" s="26">
        <v>53333</v>
      </c>
      <c r="E491" s="25">
        <v>12</v>
      </c>
      <c r="F491" s="25">
        <v>4</v>
      </c>
      <c r="G491" s="25">
        <v>0</v>
      </c>
      <c r="H491" s="25" t="s">
        <v>65</v>
      </c>
    </row>
    <row r="492" spans="1:8" ht="15.75" x14ac:dyDescent="0.25">
      <c r="A492" s="25" t="s">
        <v>560</v>
      </c>
      <c r="B492" s="25">
        <v>23</v>
      </c>
      <c r="C492" s="25" t="s">
        <v>70</v>
      </c>
      <c r="D492" s="26">
        <v>118295</v>
      </c>
      <c r="E492" s="25">
        <v>18</v>
      </c>
      <c r="F492" s="25">
        <v>3</v>
      </c>
      <c r="G492" s="25">
        <v>0</v>
      </c>
      <c r="H492" s="25" t="s">
        <v>68</v>
      </c>
    </row>
    <row r="493" spans="1:8" ht="15.75" x14ac:dyDescent="0.25">
      <c r="A493" s="25" t="s">
        <v>561</v>
      </c>
      <c r="B493" s="25">
        <v>26</v>
      </c>
      <c r="C493" s="25" t="s">
        <v>64</v>
      </c>
      <c r="D493" s="26">
        <v>85611</v>
      </c>
      <c r="E493" s="25">
        <v>11</v>
      </c>
      <c r="F493" s="25">
        <v>1</v>
      </c>
      <c r="G493" s="25">
        <v>1</v>
      </c>
      <c r="H493" s="25" t="s">
        <v>65</v>
      </c>
    </row>
    <row r="494" spans="1:8" ht="15.75" x14ac:dyDescent="0.25">
      <c r="A494" s="25" t="s">
        <v>562</v>
      </c>
      <c r="B494" s="25">
        <v>43</v>
      </c>
      <c r="C494" s="25" t="s">
        <v>67</v>
      </c>
      <c r="D494" s="26">
        <v>77941</v>
      </c>
      <c r="E494" s="25">
        <v>3</v>
      </c>
      <c r="F494" s="25">
        <v>3</v>
      </c>
      <c r="G494" s="25">
        <v>1</v>
      </c>
      <c r="H494" s="25" t="s">
        <v>65</v>
      </c>
    </row>
    <row r="495" spans="1:8" ht="15.75" x14ac:dyDescent="0.25">
      <c r="A495" s="25" t="s">
        <v>563</v>
      </c>
      <c r="B495" s="25">
        <v>27</v>
      </c>
      <c r="C495" s="25" t="s">
        <v>78</v>
      </c>
      <c r="D495" s="26">
        <v>68875</v>
      </c>
      <c r="E495" s="25">
        <v>9</v>
      </c>
      <c r="F495" s="25">
        <v>3</v>
      </c>
      <c r="G495" s="25">
        <v>0</v>
      </c>
      <c r="H495" s="25" t="s">
        <v>68</v>
      </c>
    </row>
    <row r="496" spans="1:8" ht="15.75" x14ac:dyDescent="0.25">
      <c r="A496" s="25" t="s">
        <v>564</v>
      </c>
      <c r="B496" s="25">
        <v>56</v>
      </c>
      <c r="C496" s="25" t="s">
        <v>64</v>
      </c>
      <c r="D496" s="26">
        <v>42698</v>
      </c>
      <c r="E496" s="25">
        <v>15</v>
      </c>
      <c r="F496" s="25">
        <v>2</v>
      </c>
      <c r="G496" s="25">
        <v>0</v>
      </c>
      <c r="H496" s="25" t="s">
        <v>65</v>
      </c>
    </row>
    <row r="497" spans="1:8" ht="15.75" x14ac:dyDescent="0.25">
      <c r="A497" s="25" t="s">
        <v>565</v>
      </c>
      <c r="B497" s="25">
        <v>21</v>
      </c>
      <c r="C497" s="25" t="s">
        <v>83</v>
      </c>
      <c r="D497" s="26">
        <v>91826</v>
      </c>
      <c r="E497" s="25">
        <v>18</v>
      </c>
      <c r="F497" s="25">
        <v>3</v>
      </c>
      <c r="G497" s="25">
        <v>1</v>
      </c>
      <c r="H497" s="25" t="s">
        <v>65</v>
      </c>
    </row>
    <row r="498" spans="1:8" ht="15.75" x14ac:dyDescent="0.25">
      <c r="A498" s="25" t="s">
        <v>566</v>
      </c>
      <c r="B498" s="25">
        <v>26</v>
      </c>
      <c r="C498" s="25" t="s">
        <v>67</v>
      </c>
      <c r="D498" s="26">
        <v>61408</v>
      </c>
      <c r="E498" s="25">
        <v>7</v>
      </c>
      <c r="F498" s="25">
        <v>3</v>
      </c>
      <c r="G498" s="25">
        <v>0</v>
      </c>
      <c r="H498" s="25" t="s">
        <v>65</v>
      </c>
    </row>
    <row r="499" spans="1:8" ht="15.75" x14ac:dyDescent="0.25">
      <c r="A499" s="25" t="s">
        <v>567</v>
      </c>
      <c r="B499" s="25">
        <v>44</v>
      </c>
      <c r="C499" s="25" t="s">
        <v>64</v>
      </c>
      <c r="D499" s="26">
        <v>118421</v>
      </c>
      <c r="E499" s="25">
        <v>5</v>
      </c>
      <c r="F499" s="25">
        <v>2</v>
      </c>
      <c r="G499" s="25">
        <v>0</v>
      </c>
      <c r="H499" s="25" t="s">
        <v>65</v>
      </c>
    </row>
    <row r="500" spans="1:8" ht="15.75" x14ac:dyDescent="0.25">
      <c r="A500" s="25" t="s">
        <v>568</v>
      </c>
      <c r="B500" s="25">
        <v>57</v>
      </c>
      <c r="C500" s="25" t="s">
        <v>70</v>
      </c>
      <c r="D500" s="26">
        <v>108845</v>
      </c>
      <c r="E500" s="25">
        <v>3</v>
      </c>
      <c r="F500" s="25">
        <v>2</v>
      </c>
      <c r="G500" s="25">
        <v>0</v>
      </c>
      <c r="H500" s="25" t="s">
        <v>65</v>
      </c>
    </row>
    <row r="501" spans="1:8" ht="15.75" x14ac:dyDescent="0.25">
      <c r="A501" s="25" t="s">
        <v>569</v>
      </c>
      <c r="B501" s="25">
        <v>56</v>
      </c>
      <c r="C501" s="25" t="s">
        <v>64</v>
      </c>
      <c r="D501" s="26">
        <v>45133</v>
      </c>
      <c r="E501" s="25">
        <v>6</v>
      </c>
      <c r="F501" s="25">
        <v>1</v>
      </c>
      <c r="G501" s="25">
        <v>1</v>
      </c>
      <c r="H501" s="25" t="s">
        <v>65</v>
      </c>
    </row>
    <row r="502" spans="1:8" ht="15.75" x14ac:dyDescent="0.25">
      <c r="A502" s="25" t="s">
        <v>570</v>
      </c>
      <c r="B502" s="25">
        <v>44</v>
      </c>
      <c r="C502" s="25" t="s">
        <v>83</v>
      </c>
      <c r="D502" s="26">
        <v>103746</v>
      </c>
      <c r="E502" s="25">
        <v>13</v>
      </c>
      <c r="F502" s="25">
        <v>2</v>
      </c>
      <c r="G502" s="25">
        <v>0</v>
      </c>
      <c r="H502" s="25" t="s">
        <v>65</v>
      </c>
    </row>
    <row r="503" spans="1:8" ht="15.75" x14ac:dyDescent="0.25">
      <c r="A503" s="25" t="s">
        <v>571</v>
      </c>
      <c r="B503" s="25">
        <v>58</v>
      </c>
      <c r="C503" s="25" t="s">
        <v>67</v>
      </c>
      <c r="D503" s="26">
        <v>66126</v>
      </c>
      <c r="E503" s="25">
        <v>12</v>
      </c>
      <c r="F503" s="25">
        <v>4</v>
      </c>
      <c r="G503" s="25">
        <v>1</v>
      </c>
      <c r="H503" s="25" t="s">
        <v>65</v>
      </c>
    </row>
    <row r="504" spans="1:8" ht="15.75" x14ac:dyDescent="0.25">
      <c r="A504" s="25" t="s">
        <v>572</v>
      </c>
      <c r="B504" s="25">
        <v>49</v>
      </c>
      <c r="C504" s="25" t="s">
        <v>64</v>
      </c>
      <c r="D504" s="26">
        <v>63043</v>
      </c>
      <c r="E504" s="25">
        <v>4</v>
      </c>
      <c r="F504" s="25">
        <v>4</v>
      </c>
      <c r="G504" s="25">
        <v>0</v>
      </c>
      <c r="H504" s="25" t="s">
        <v>65</v>
      </c>
    </row>
    <row r="505" spans="1:8" ht="15.75" x14ac:dyDescent="0.25">
      <c r="A505" s="25" t="s">
        <v>573</v>
      </c>
      <c r="B505" s="25">
        <v>57</v>
      </c>
      <c r="C505" s="25" t="s">
        <v>78</v>
      </c>
      <c r="D505" s="26">
        <v>34078</v>
      </c>
      <c r="E505" s="25">
        <v>8</v>
      </c>
      <c r="F505" s="25">
        <v>1</v>
      </c>
      <c r="G505" s="25">
        <v>0</v>
      </c>
      <c r="H505" s="25" t="s">
        <v>65</v>
      </c>
    </row>
    <row r="506" spans="1:8" ht="15.75" x14ac:dyDescent="0.25">
      <c r="A506" s="25" t="s">
        <v>574</v>
      </c>
      <c r="B506" s="25">
        <v>52</v>
      </c>
      <c r="C506" s="25" t="s">
        <v>67</v>
      </c>
      <c r="D506" s="26">
        <v>83906</v>
      </c>
      <c r="E506" s="25">
        <v>2</v>
      </c>
      <c r="F506" s="25">
        <v>3</v>
      </c>
      <c r="G506" s="25">
        <v>0</v>
      </c>
      <c r="H506" s="25" t="s">
        <v>65</v>
      </c>
    </row>
    <row r="507" spans="1:8" ht="15.75" x14ac:dyDescent="0.25">
      <c r="A507" s="25" t="s">
        <v>575</v>
      </c>
      <c r="B507" s="25">
        <v>45</v>
      </c>
      <c r="C507" s="25" t="s">
        <v>64</v>
      </c>
      <c r="D507" s="26">
        <v>41137</v>
      </c>
      <c r="E507" s="25">
        <v>9</v>
      </c>
      <c r="F507" s="25">
        <v>1</v>
      </c>
      <c r="G507" s="25">
        <v>0</v>
      </c>
      <c r="H507" s="25" t="s">
        <v>65</v>
      </c>
    </row>
    <row r="508" spans="1:8" ht="15.75" x14ac:dyDescent="0.25">
      <c r="A508" s="25" t="s">
        <v>576</v>
      </c>
      <c r="B508" s="25">
        <v>30</v>
      </c>
      <c r="C508" s="25" t="s">
        <v>64</v>
      </c>
      <c r="D508" s="26">
        <v>59350</v>
      </c>
      <c r="E508" s="25">
        <v>14</v>
      </c>
      <c r="F508" s="25">
        <v>2</v>
      </c>
      <c r="G508" s="25">
        <v>1</v>
      </c>
      <c r="H508" s="25" t="s">
        <v>65</v>
      </c>
    </row>
    <row r="509" spans="1:8" ht="15.75" x14ac:dyDescent="0.25">
      <c r="A509" s="25" t="s">
        <v>577</v>
      </c>
      <c r="B509" s="25">
        <v>55</v>
      </c>
      <c r="C509" s="25" t="s">
        <v>67</v>
      </c>
      <c r="D509" s="26">
        <v>34698</v>
      </c>
      <c r="E509" s="25">
        <v>19</v>
      </c>
      <c r="F509" s="25">
        <v>3</v>
      </c>
      <c r="G509" s="25">
        <v>0</v>
      </c>
      <c r="H509" s="25" t="s">
        <v>65</v>
      </c>
    </row>
    <row r="510" spans="1:8" ht="15.75" x14ac:dyDescent="0.25">
      <c r="A510" s="25" t="s">
        <v>578</v>
      </c>
      <c r="B510" s="25">
        <v>45</v>
      </c>
      <c r="C510" s="25" t="s">
        <v>70</v>
      </c>
      <c r="D510" s="26">
        <v>63132</v>
      </c>
      <c r="E510" s="25">
        <v>16</v>
      </c>
      <c r="F510" s="25">
        <v>1</v>
      </c>
      <c r="G510" s="25">
        <v>0</v>
      </c>
      <c r="H510" s="25" t="s">
        <v>65</v>
      </c>
    </row>
    <row r="511" spans="1:8" ht="15.75" x14ac:dyDescent="0.25">
      <c r="A511" s="25" t="s">
        <v>579</v>
      </c>
      <c r="B511" s="25">
        <v>47</v>
      </c>
      <c r="C511" s="25" t="s">
        <v>78</v>
      </c>
      <c r="D511" s="26">
        <v>40165</v>
      </c>
      <c r="E511" s="25">
        <v>5</v>
      </c>
      <c r="F511" s="25">
        <v>1</v>
      </c>
      <c r="G511" s="25">
        <v>0</v>
      </c>
      <c r="H511" s="25" t="s">
        <v>65</v>
      </c>
    </row>
    <row r="512" spans="1:8" ht="15.75" x14ac:dyDescent="0.25">
      <c r="A512" s="25" t="s">
        <v>580</v>
      </c>
      <c r="B512" s="25">
        <v>52</v>
      </c>
      <c r="C512" s="25" t="s">
        <v>67</v>
      </c>
      <c r="D512" s="26">
        <v>30794</v>
      </c>
      <c r="E512" s="25">
        <v>2</v>
      </c>
      <c r="F512" s="25">
        <v>4</v>
      </c>
      <c r="G512" s="25">
        <v>0</v>
      </c>
      <c r="H512" s="25" t="s">
        <v>65</v>
      </c>
    </row>
    <row r="513" spans="1:8" ht="15.75" x14ac:dyDescent="0.25">
      <c r="A513" s="25" t="s">
        <v>581</v>
      </c>
      <c r="B513" s="25">
        <v>32</v>
      </c>
      <c r="C513" s="25" t="s">
        <v>78</v>
      </c>
      <c r="D513" s="26">
        <v>43646</v>
      </c>
      <c r="E513" s="25">
        <v>17</v>
      </c>
      <c r="F513" s="25">
        <v>1</v>
      </c>
      <c r="G513" s="25">
        <v>0</v>
      </c>
      <c r="H513" s="25" t="s">
        <v>65</v>
      </c>
    </row>
    <row r="514" spans="1:8" ht="15.75" x14ac:dyDescent="0.25">
      <c r="A514" s="25" t="s">
        <v>582</v>
      </c>
      <c r="B514" s="25">
        <v>24</v>
      </c>
      <c r="C514" s="25" t="s">
        <v>78</v>
      </c>
      <c r="D514" s="26">
        <v>118715</v>
      </c>
      <c r="E514" s="25">
        <v>4</v>
      </c>
      <c r="F514" s="25">
        <v>3</v>
      </c>
      <c r="G514" s="25">
        <v>0</v>
      </c>
      <c r="H514" s="25" t="s">
        <v>65</v>
      </c>
    </row>
    <row r="515" spans="1:8" ht="15.75" x14ac:dyDescent="0.25">
      <c r="A515" s="25" t="s">
        <v>583</v>
      </c>
      <c r="B515" s="25">
        <v>46</v>
      </c>
      <c r="C515" s="25" t="s">
        <v>67</v>
      </c>
      <c r="D515" s="26">
        <v>35870</v>
      </c>
      <c r="E515" s="25">
        <v>12</v>
      </c>
      <c r="F515" s="25">
        <v>1</v>
      </c>
      <c r="G515" s="25">
        <v>0</v>
      </c>
      <c r="H515" s="25" t="s">
        <v>65</v>
      </c>
    </row>
    <row r="516" spans="1:8" ht="15.75" x14ac:dyDescent="0.25">
      <c r="A516" s="25" t="s">
        <v>584</v>
      </c>
      <c r="B516" s="25">
        <v>23</v>
      </c>
      <c r="C516" s="25" t="s">
        <v>64</v>
      </c>
      <c r="D516" s="26">
        <v>60736</v>
      </c>
      <c r="E516" s="25">
        <v>0</v>
      </c>
      <c r="F516" s="25">
        <v>1</v>
      </c>
      <c r="G516" s="25">
        <v>1</v>
      </c>
      <c r="H516" s="25" t="s">
        <v>65</v>
      </c>
    </row>
    <row r="517" spans="1:8" ht="15.75" x14ac:dyDescent="0.25">
      <c r="A517" s="25" t="s">
        <v>585</v>
      </c>
      <c r="B517" s="25">
        <v>37</v>
      </c>
      <c r="C517" s="25" t="s">
        <v>70</v>
      </c>
      <c r="D517" s="26">
        <v>88084</v>
      </c>
      <c r="E517" s="25">
        <v>16</v>
      </c>
      <c r="F517" s="25">
        <v>2</v>
      </c>
      <c r="G517" s="25">
        <v>0</v>
      </c>
      <c r="H517" s="25" t="s">
        <v>65</v>
      </c>
    </row>
    <row r="518" spans="1:8" ht="15.75" x14ac:dyDescent="0.25">
      <c r="A518" s="25" t="s">
        <v>586</v>
      </c>
      <c r="B518" s="25">
        <v>29</v>
      </c>
      <c r="C518" s="25" t="s">
        <v>78</v>
      </c>
      <c r="D518" s="26">
        <v>46211</v>
      </c>
      <c r="E518" s="25">
        <v>2</v>
      </c>
      <c r="F518" s="25">
        <v>1</v>
      </c>
      <c r="G518" s="25">
        <v>1</v>
      </c>
      <c r="H518" s="25" t="s">
        <v>65</v>
      </c>
    </row>
    <row r="519" spans="1:8" ht="15.75" x14ac:dyDescent="0.25">
      <c r="A519" s="25" t="s">
        <v>587</v>
      </c>
      <c r="B519" s="25">
        <v>49</v>
      </c>
      <c r="C519" s="25" t="s">
        <v>78</v>
      </c>
      <c r="D519" s="26">
        <v>116665</v>
      </c>
      <c r="E519" s="25">
        <v>18</v>
      </c>
      <c r="F519" s="25">
        <v>3</v>
      </c>
      <c r="G519" s="25">
        <v>0</v>
      </c>
      <c r="H519" s="25" t="s">
        <v>65</v>
      </c>
    </row>
    <row r="520" spans="1:8" ht="15.75" x14ac:dyDescent="0.25">
      <c r="A520" s="25" t="s">
        <v>588</v>
      </c>
      <c r="B520" s="25">
        <v>21</v>
      </c>
      <c r="C520" s="25" t="s">
        <v>64</v>
      </c>
      <c r="D520" s="26">
        <v>89538</v>
      </c>
      <c r="E520" s="25">
        <v>19</v>
      </c>
      <c r="F520" s="25">
        <v>4</v>
      </c>
      <c r="G520" s="25">
        <v>0</v>
      </c>
      <c r="H520" s="25" t="s">
        <v>65</v>
      </c>
    </row>
    <row r="521" spans="1:8" ht="15.75" x14ac:dyDescent="0.25">
      <c r="A521" s="25" t="s">
        <v>589</v>
      </c>
      <c r="B521" s="25">
        <v>38</v>
      </c>
      <c r="C521" s="25" t="s">
        <v>67</v>
      </c>
      <c r="D521" s="26">
        <v>37377</v>
      </c>
      <c r="E521" s="25">
        <v>11</v>
      </c>
      <c r="F521" s="25">
        <v>4</v>
      </c>
      <c r="G521" s="25">
        <v>0</v>
      </c>
      <c r="H521" s="25" t="s">
        <v>65</v>
      </c>
    </row>
    <row r="522" spans="1:8" ht="15.75" x14ac:dyDescent="0.25">
      <c r="A522" s="25" t="s">
        <v>590</v>
      </c>
      <c r="B522" s="25">
        <v>40</v>
      </c>
      <c r="C522" s="25" t="s">
        <v>70</v>
      </c>
      <c r="D522" s="26">
        <v>38861</v>
      </c>
      <c r="E522" s="25">
        <v>7</v>
      </c>
      <c r="F522" s="25">
        <v>4</v>
      </c>
      <c r="G522" s="25">
        <v>1</v>
      </c>
      <c r="H522" s="25" t="s">
        <v>68</v>
      </c>
    </row>
    <row r="523" spans="1:8" ht="15.75" x14ac:dyDescent="0.25">
      <c r="A523" s="25" t="s">
        <v>591</v>
      </c>
      <c r="B523" s="25">
        <v>54</v>
      </c>
      <c r="C523" s="25" t="s">
        <v>78</v>
      </c>
      <c r="D523" s="26">
        <v>47821</v>
      </c>
      <c r="E523" s="25">
        <v>7</v>
      </c>
      <c r="F523" s="25">
        <v>4</v>
      </c>
      <c r="G523" s="25">
        <v>0</v>
      </c>
      <c r="H523" s="25" t="s">
        <v>65</v>
      </c>
    </row>
    <row r="524" spans="1:8" ht="15.75" x14ac:dyDescent="0.25">
      <c r="A524" s="25" t="s">
        <v>592</v>
      </c>
      <c r="B524" s="25">
        <v>48</v>
      </c>
      <c r="C524" s="25" t="s">
        <v>78</v>
      </c>
      <c r="D524" s="26">
        <v>108488</v>
      </c>
      <c r="E524" s="25">
        <v>14</v>
      </c>
      <c r="F524" s="25">
        <v>2</v>
      </c>
      <c r="G524" s="25">
        <v>1</v>
      </c>
      <c r="H524" s="25" t="s">
        <v>65</v>
      </c>
    </row>
    <row r="525" spans="1:8" ht="15.75" x14ac:dyDescent="0.25">
      <c r="A525" s="25" t="s">
        <v>593</v>
      </c>
      <c r="B525" s="25">
        <v>55</v>
      </c>
      <c r="C525" s="25" t="s">
        <v>67</v>
      </c>
      <c r="D525" s="26">
        <v>104583</v>
      </c>
      <c r="E525" s="25">
        <v>10</v>
      </c>
      <c r="F525" s="25">
        <v>3</v>
      </c>
      <c r="G525" s="25">
        <v>0</v>
      </c>
      <c r="H525" s="25" t="s">
        <v>65</v>
      </c>
    </row>
    <row r="526" spans="1:8" ht="15.75" x14ac:dyDescent="0.25">
      <c r="A526" s="25" t="s">
        <v>594</v>
      </c>
      <c r="B526" s="25">
        <v>36</v>
      </c>
      <c r="C526" s="25" t="s">
        <v>64</v>
      </c>
      <c r="D526" s="26">
        <v>56953</v>
      </c>
      <c r="E526" s="25">
        <v>19</v>
      </c>
      <c r="F526" s="25">
        <v>2</v>
      </c>
      <c r="G526" s="25">
        <v>0</v>
      </c>
      <c r="H526" s="25" t="s">
        <v>65</v>
      </c>
    </row>
    <row r="527" spans="1:8" ht="15.75" x14ac:dyDescent="0.25">
      <c r="A527" s="25" t="s">
        <v>595</v>
      </c>
      <c r="B527" s="25">
        <v>41</v>
      </c>
      <c r="C527" s="25" t="s">
        <v>83</v>
      </c>
      <c r="D527" s="26">
        <v>66801</v>
      </c>
      <c r="E527" s="25">
        <v>0</v>
      </c>
      <c r="F527" s="25">
        <v>4</v>
      </c>
      <c r="G527" s="25">
        <v>0</v>
      </c>
      <c r="H527" s="25" t="s">
        <v>68</v>
      </c>
    </row>
    <row r="528" spans="1:8" ht="15.75" x14ac:dyDescent="0.25">
      <c r="A528" s="25" t="s">
        <v>596</v>
      </c>
      <c r="B528" s="25">
        <v>33</v>
      </c>
      <c r="C528" s="25" t="s">
        <v>64</v>
      </c>
      <c r="D528" s="26">
        <v>48277</v>
      </c>
      <c r="E528" s="25">
        <v>15</v>
      </c>
      <c r="F528" s="25">
        <v>2</v>
      </c>
      <c r="G528" s="25">
        <v>0</v>
      </c>
      <c r="H528" s="25" t="s">
        <v>65</v>
      </c>
    </row>
    <row r="529" spans="1:8" ht="15.75" x14ac:dyDescent="0.25">
      <c r="A529" s="25" t="s">
        <v>597</v>
      </c>
      <c r="B529" s="25">
        <v>55</v>
      </c>
      <c r="C529" s="25" t="s">
        <v>78</v>
      </c>
      <c r="D529" s="26">
        <v>119439</v>
      </c>
      <c r="E529" s="25">
        <v>13</v>
      </c>
      <c r="F529" s="25">
        <v>1</v>
      </c>
      <c r="G529" s="25">
        <v>0</v>
      </c>
      <c r="H529" s="25" t="s">
        <v>65</v>
      </c>
    </row>
    <row r="530" spans="1:8" ht="15.75" x14ac:dyDescent="0.25">
      <c r="A530" s="25" t="s">
        <v>598</v>
      </c>
      <c r="B530" s="25">
        <v>52</v>
      </c>
      <c r="C530" s="25" t="s">
        <v>78</v>
      </c>
      <c r="D530" s="26">
        <v>113762</v>
      </c>
      <c r="E530" s="25">
        <v>6</v>
      </c>
      <c r="F530" s="25">
        <v>3</v>
      </c>
      <c r="G530" s="25">
        <v>1</v>
      </c>
      <c r="H530" s="25" t="s">
        <v>65</v>
      </c>
    </row>
    <row r="531" spans="1:8" ht="15.75" x14ac:dyDescent="0.25">
      <c r="A531" s="25" t="s">
        <v>599</v>
      </c>
      <c r="B531" s="25">
        <v>58</v>
      </c>
      <c r="C531" s="25" t="s">
        <v>70</v>
      </c>
      <c r="D531" s="26">
        <v>52628</v>
      </c>
      <c r="E531" s="25">
        <v>5</v>
      </c>
      <c r="F531" s="25">
        <v>1</v>
      </c>
      <c r="G531" s="25">
        <v>1</v>
      </c>
      <c r="H531" s="25" t="s">
        <v>65</v>
      </c>
    </row>
    <row r="532" spans="1:8" ht="15.75" x14ac:dyDescent="0.25">
      <c r="A532" s="25" t="s">
        <v>600</v>
      </c>
      <c r="B532" s="25">
        <v>26</v>
      </c>
      <c r="C532" s="25" t="s">
        <v>64</v>
      </c>
      <c r="D532" s="26">
        <v>112246</v>
      </c>
      <c r="E532" s="25">
        <v>3</v>
      </c>
      <c r="F532" s="25">
        <v>2</v>
      </c>
      <c r="G532" s="25">
        <v>1</v>
      </c>
      <c r="H532" s="25" t="s">
        <v>65</v>
      </c>
    </row>
    <row r="533" spans="1:8" ht="15.75" x14ac:dyDescent="0.25">
      <c r="A533" s="25" t="s">
        <v>601</v>
      </c>
      <c r="B533" s="25">
        <v>58</v>
      </c>
      <c r="C533" s="25" t="s">
        <v>83</v>
      </c>
      <c r="D533" s="26">
        <v>57802</v>
      </c>
      <c r="E533" s="25">
        <v>7</v>
      </c>
      <c r="F533" s="25">
        <v>1</v>
      </c>
      <c r="G533" s="25">
        <v>1</v>
      </c>
      <c r="H533" s="25" t="s">
        <v>65</v>
      </c>
    </row>
    <row r="534" spans="1:8" ht="15.75" x14ac:dyDescent="0.25">
      <c r="A534" s="25" t="s">
        <v>602</v>
      </c>
      <c r="B534" s="25">
        <v>58</v>
      </c>
      <c r="C534" s="25" t="s">
        <v>70</v>
      </c>
      <c r="D534" s="26">
        <v>93497</v>
      </c>
      <c r="E534" s="25">
        <v>18</v>
      </c>
      <c r="F534" s="25">
        <v>2</v>
      </c>
      <c r="G534" s="25">
        <v>1</v>
      </c>
      <c r="H534" s="25" t="s">
        <v>65</v>
      </c>
    </row>
    <row r="535" spans="1:8" ht="15.75" x14ac:dyDescent="0.25">
      <c r="A535" s="25" t="s">
        <v>603</v>
      </c>
      <c r="B535" s="25">
        <v>33</v>
      </c>
      <c r="C535" s="25" t="s">
        <v>83</v>
      </c>
      <c r="D535" s="26">
        <v>114320</v>
      </c>
      <c r="E535" s="25">
        <v>2</v>
      </c>
      <c r="F535" s="25">
        <v>2</v>
      </c>
      <c r="G535" s="25">
        <v>1</v>
      </c>
      <c r="H535" s="25" t="s">
        <v>68</v>
      </c>
    </row>
    <row r="536" spans="1:8" ht="15.75" x14ac:dyDescent="0.25">
      <c r="A536" s="25" t="s">
        <v>604</v>
      </c>
      <c r="B536" s="25">
        <v>59</v>
      </c>
      <c r="C536" s="25" t="s">
        <v>70</v>
      </c>
      <c r="D536" s="26">
        <v>99814</v>
      </c>
      <c r="E536" s="25">
        <v>3</v>
      </c>
      <c r="F536" s="25">
        <v>3</v>
      </c>
      <c r="G536" s="25">
        <v>0</v>
      </c>
      <c r="H536" s="25" t="s">
        <v>65</v>
      </c>
    </row>
    <row r="537" spans="1:8" ht="15.75" x14ac:dyDescent="0.25">
      <c r="A537" s="25" t="s">
        <v>605</v>
      </c>
      <c r="B537" s="25">
        <v>33</v>
      </c>
      <c r="C537" s="25" t="s">
        <v>64</v>
      </c>
      <c r="D537" s="26">
        <v>83702</v>
      </c>
      <c r="E537" s="25">
        <v>12</v>
      </c>
      <c r="F537" s="25">
        <v>3</v>
      </c>
      <c r="G537" s="25">
        <v>0</v>
      </c>
      <c r="H537" s="25" t="s">
        <v>68</v>
      </c>
    </row>
    <row r="538" spans="1:8" ht="15.75" x14ac:dyDescent="0.25">
      <c r="A538" s="25" t="s">
        <v>606</v>
      </c>
      <c r="B538" s="25">
        <v>32</v>
      </c>
      <c r="C538" s="25" t="s">
        <v>78</v>
      </c>
      <c r="D538" s="26">
        <v>58677</v>
      </c>
      <c r="E538" s="25">
        <v>1</v>
      </c>
      <c r="F538" s="25">
        <v>3</v>
      </c>
      <c r="G538" s="25">
        <v>0</v>
      </c>
      <c r="H538" s="25" t="s">
        <v>65</v>
      </c>
    </row>
    <row r="539" spans="1:8" ht="15.75" x14ac:dyDescent="0.25">
      <c r="A539" s="25" t="s">
        <v>607</v>
      </c>
      <c r="B539" s="25">
        <v>53</v>
      </c>
      <c r="C539" s="25" t="s">
        <v>83</v>
      </c>
      <c r="D539" s="26">
        <v>37500</v>
      </c>
      <c r="E539" s="25">
        <v>10</v>
      </c>
      <c r="F539" s="25">
        <v>4</v>
      </c>
      <c r="G539" s="25">
        <v>0</v>
      </c>
      <c r="H539" s="25" t="s">
        <v>65</v>
      </c>
    </row>
    <row r="540" spans="1:8" ht="15.75" x14ac:dyDescent="0.25">
      <c r="A540" s="25" t="s">
        <v>608</v>
      </c>
      <c r="B540" s="25">
        <v>48</v>
      </c>
      <c r="C540" s="25" t="s">
        <v>64</v>
      </c>
      <c r="D540" s="26">
        <v>34015</v>
      </c>
      <c r="E540" s="25">
        <v>15</v>
      </c>
      <c r="F540" s="25">
        <v>3</v>
      </c>
      <c r="G540" s="25">
        <v>1</v>
      </c>
      <c r="H540" s="25" t="s">
        <v>68</v>
      </c>
    </row>
    <row r="541" spans="1:8" ht="15.75" x14ac:dyDescent="0.25">
      <c r="A541" s="25" t="s">
        <v>609</v>
      </c>
      <c r="B541" s="25">
        <v>23</v>
      </c>
      <c r="C541" s="25" t="s">
        <v>83</v>
      </c>
      <c r="D541" s="26">
        <v>117372</v>
      </c>
      <c r="E541" s="25">
        <v>9</v>
      </c>
      <c r="F541" s="25">
        <v>1</v>
      </c>
      <c r="G541" s="25">
        <v>0</v>
      </c>
      <c r="H541" s="25" t="s">
        <v>68</v>
      </c>
    </row>
    <row r="542" spans="1:8" ht="15.75" x14ac:dyDescent="0.25">
      <c r="A542" s="25" t="s">
        <v>610</v>
      </c>
      <c r="B542" s="25">
        <v>38</v>
      </c>
      <c r="C542" s="25" t="s">
        <v>64</v>
      </c>
      <c r="D542" s="26">
        <v>88812</v>
      </c>
      <c r="E542" s="25">
        <v>14</v>
      </c>
      <c r="F542" s="25">
        <v>3</v>
      </c>
      <c r="G542" s="25">
        <v>0</v>
      </c>
      <c r="H542" s="25" t="s">
        <v>68</v>
      </c>
    </row>
    <row r="543" spans="1:8" ht="15.75" x14ac:dyDescent="0.25">
      <c r="A543" s="25" t="s">
        <v>611</v>
      </c>
      <c r="B543" s="25">
        <v>46</v>
      </c>
      <c r="C543" s="25" t="s">
        <v>70</v>
      </c>
      <c r="D543" s="26">
        <v>37826</v>
      </c>
      <c r="E543" s="25">
        <v>9</v>
      </c>
      <c r="F543" s="25">
        <v>3</v>
      </c>
      <c r="G543" s="25">
        <v>0</v>
      </c>
      <c r="H543" s="25" t="s">
        <v>65</v>
      </c>
    </row>
    <row r="544" spans="1:8" ht="15.75" x14ac:dyDescent="0.25">
      <c r="A544" s="25" t="s">
        <v>612</v>
      </c>
      <c r="B544" s="25">
        <v>22</v>
      </c>
      <c r="C544" s="25" t="s">
        <v>64</v>
      </c>
      <c r="D544" s="26">
        <v>39201</v>
      </c>
      <c r="E544" s="25">
        <v>1</v>
      </c>
      <c r="F544" s="25">
        <v>3</v>
      </c>
      <c r="G544" s="25">
        <v>0</v>
      </c>
      <c r="H544" s="25" t="s">
        <v>68</v>
      </c>
    </row>
    <row r="545" spans="1:8" ht="15.75" x14ac:dyDescent="0.25">
      <c r="A545" s="25" t="s">
        <v>613</v>
      </c>
      <c r="B545" s="25">
        <v>24</v>
      </c>
      <c r="C545" s="25" t="s">
        <v>70</v>
      </c>
      <c r="D545" s="26">
        <v>59048</v>
      </c>
      <c r="E545" s="25">
        <v>5</v>
      </c>
      <c r="F545" s="25">
        <v>2</v>
      </c>
      <c r="G545" s="25">
        <v>0</v>
      </c>
      <c r="H545" s="25" t="s">
        <v>65</v>
      </c>
    </row>
    <row r="546" spans="1:8" ht="15.75" x14ac:dyDescent="0.25">
      <c r="A546" s="25" t="s">
        <v>614</v>
      </c>
      <c r="B546" s="25">
        <v>48</v>
      </c>
      <c r="C546" s="25" t="s">
        <v>78</v>
      </c>
      <c r="D546" s="26">
        <v>49941</v>
      </c>
      <c r="E546" s="25">
        <v>13</v>
      </c>
      <c r="F546" s="25">
        <v>2</v>
      </c>
      <c r="G546" s="25">
        <v>0</v>
      </c>
      <c r="H546" s="25" t="s">
        <v>65</v>
      </c>
    </row>
    <row r="547" spans="1:8" ht="15.75" x14ac:dyDescent="0.25">
      <c r="A547" s="25" t="s">
        <v>615</v>
      </c>
      <c r="B547" s="25">
        <v>48</v>
      </c>
      <c r="C547" s="25" t="s">
        <v>70</v>
      </c>
      <c r="D547" s="26">
        <v>110641</v>
      </c>
      <c r="E547" s="25">
        <v>1</v>
      </c>
      <c r="F547" s="25">
        <v>3</v>
      </c>
      <c r="G547" s="25">
        <v>0</v>
      </c>
      <c r="H547" s="25" t="s">
        <v>65</v>
      </c>
    </row>
    <row r="548" spans="1:8" ht="15.75" x14ac:dyDescent="0.25">
      <c r="A548" s="25" t="s">
        <v>616</v>
      </c>
      <c r="B548" s="25">
        <v>45</v>
      </c>
      <c r="C548" s="25" t="s">
        <v>67</v>
      </c>
      <c r="D548" s="26">
        <v>88418</v>
      </c>
      <c r="E548" s="25">
        <v>9</v>
      </c>
      <c r="F548" s="25">
        <v>2</v>
      </c>
      <c r="G548" s="25">
        <v>0</v>
      </c>
      <c r="H548" s="25" t="s">
        <v>68</v>
      </c>
    </row>
    <row r="549" spans="1:8" ht="15.75" x14ac:dyDescent="0.25">
      <c r="A549" s="25" t="s">
        <v>617</v>
      </c>
      <c r="B549" s="25">
        <v>46</v>
      </c>
      <c r="C549" s="25" t="s">
        <v>78</v>
      </c>
      <c r="D549" s="26">
        <v>95689</v>
      </c>
      <c r="E549" s="25">
        <v>16</v>
      </c>
      <c r="F549" s="25">
        <v>2</v>
      </c>
      <c r="G549" s="25">
        <v>0</v>
      </c>
      <c r="H549" s="25" t="s">
        <v>65</v>
      </c>
    </row>
    <row r="550" spans="1:8" ht="15.75" x14ac:dyDescent="0.25">
      <c r="A550" s="25" t="s">
        <v>618</v>
      </c>
      <c r="B550" s="25">
        <v>22</v>
      </c>
      <c r="C550" s="25" t="s">
        <v>64</v>
      </c>
      <c r="D550" s="26">
        <v>71541</v>
      </c>
      <c r="E550" s="25">
        <v>7</v>
      </c>
      <c r="F550" s="25">
        <v>4</v>
      </c>
      <c r="G550" s="25">
        <v>0</v>
      </c>
      <c r="H550" s="25" t="s">
        <v>65</v>
      </c>
    </row>
    <row r="551" spans="1:8" ht="15.75" x14ac:dyDescent="0.25">
      <c r="A551" s="25" t="s">
        <v>619</v>
      </c>
      <c r="B551" s="25">
        <v>54</v>
      </c>
      <c r="C551" s="25" t="s">
        <v>64</v>
      </c>
      <c r="D551" s="26">
        <v>79939</v>
      </c>
      <c r="E551" s="25">
        <v>15</v>
      </c>
      <c r="F551" s="25">
        <v>1</v>
      </c>
      <c r="G551" s="25">
        <v>0</v>
      </c>
      <c r="H551" s="25" t="s">
        <v>65</v>
      </c>
    </row>
    <row r="552" spans="1:8" ht="15.75" x14ac:dyDescent="0.25">
      <c r="A552" s="25" t="s">
        <v>620</v>
      </c>
      <c r="B552" s="25">
        <v>50</v>
      </c>
      <c r="C552" s="25" t="s">
        <v>67</v>
      </c>
      <c r="D552" s="26">
        <v>100422</v>
      </c>
      <c r="E552" s="25">
        <v>13</v>
      </c>
      <c r="F552" s="25">
        <v>2</v>
      </c>
      <c r="G552" s="25">
        <v>0</v>
      </c>
      <c r="H552" s="25" t="s">
        <v>65</v>
      </c>
    </row>
    <row r="553" spans="1:8" ht="15.75" x14ac:dyDescent="0.25">
      <c r="A553" s="25" t="s">
        <v>621</v>
      </c>
      <c r="B553" s="25">
        <v>41</v>
      </c>
      <c r="C553" s="25" t="s">
        <v>64</v>
      </c>
      <c r="D553" s="26">
        <v>53950</v>
      </c>
      <c r="E553" s="25">
        <v>9</v>
      </c>
      <c r="F553" s="25">
        <v>1</v>
      </c>
      <c r="G553" s="25">
        <v>0</v>
      </c>
      <c r="H553" s="25" t="s">
        <v>65</v>
      </c>
    </row>
    <row r="554" spans="1:8" ht="15.75" x14ac:dyDescent="0.25">
      <c r="A554" s="25" t="s">
        <v>622</v>
      </c>
      <c r="B554" s="25">
        <v>57</v>
      </c>
      <c r="C554" s="25" t="s">
        <v>78</v>
      </c>
      <c r="D554" s="26">
        <v>97803</v>
      </c>
      <c r="E554" s="25">
        <v>12</v>
      </c>
      <c r="F554" s="25">
        <v>2</v>
      </c>
      <c r="G554" s="25">
        <v>1</v>
      </c>
      <c r="H554" s="25" t="s">
        <v>65</v>
      </c>
    </row>
    <row r="555" spans="1:8" ht="15.75" x14ac:dyDescent="0.25">
      <c r="A555" s="25" t="s">
        <v>623</v>
      </c>
      <c r="B555" s="25">
        <v>43</v>
      </c>
      <c r="C555" s="25" t="s">
        <v>78</v>
      </c>
      <c r="D555" s="26">
        <v>50642</v>
      </c>
      <c r="E555" s="25">
        <v>0</v>
      </c>
      <c r="F555" s="25">
        <v>3</v>
      </c>
      <c r="G555" s="25">
        <v>0</v>
      </c>
      <c r="H555" s="25" t="s">
        <v>65</v>
      </c>
    </row>
    <row r="556" spans="1:8" ht="15.75" x14ac:dyDescent="0.25">
      <c r="A556" s="25" t="s">
        <v>624</v>
      </c>
      <c r="B556" s="25">
        <v>53</v>
      </c>
      <c r="C556" s="25" t="s">
        <v>70</v>
      </c>
      <c r="D556" s="26">
        <v>96506</v>
      </c>
      <c r="E556" s="25">
        <v>9</v>
      </c>
      <c r="F556" s="25">
        <v>2</v>
      </c>
      <c r="G556" s="25">
        <v>1</v>
      </c>
      <c r="H556" s="25" t="s">
        <v>65</v>
      </c>
    </row>
    <row r="557" spans="1:8" ht="15.75" x14ac:dyDescent="0.25">
      <c r="A557" s="25" t="s">
        <v>625</v>
      </c>
      <c r="B557" s="25">
        <v>22</v>
      </c>
      <c r="C557" s="25" t="s">
        <v>83</v>
      </c>
      <c r="D557" s="26">
        <v>71607</v>
      </c>
      <c r="E557" s="25">
        <v>11</v>
      </c>
      <c r="F557" s="25">
        <v>2</v>
      </c>
      <c r="G557" s="25">
        <v>1</v>
      </c>
      <c r="H557" s="25" t="s">
        <v>65</v>
      </c>
    </row>
    <row r="558" spans="1:8" ht="15.75" x14ac:dyDescent="0.25">
      <c r="A558" s="25" t="s">
        <v>626</v>
      </c>
      <c r="B558" s="25">
        <v>47</v>
      </c>
      <c r="C558" s="25" t="s">
        <v>64</v>
      </c>
      <c r="D558" s="26">
        <v>61288</v>
      </c>
      <c r="E558" s="25">
        <v>16</v>
      </c>
      <c r="F558" s="25">
        <v>1</v>
      </c>
      <c r="G558" s="25">
        <v>1</v>
      </c>
      <c r="H558" s="25" t="s">
        <v>65</v>
      </c>
    </row>
    <row r="559" spans="1:8" ht="15.75" x14ac:dyDescent="0.25">
      <c r="A559" s="25" t="s">
        <v>627</v>
      </c>
      <c r="B559" s="25">
        <v>42</v>
      </c>
      <c r="C559" s="25" t="s">
        <v>67</v>
      </c>
      <c r="D559" s="26">
        <v>112865</v>
      </c>
      <c r="E559" s="25">
        <v>13</v>
      </c>
      <c r="F559" s="25">
        <v>3</v>
      </c>
      <c r="G559" s="25">
        <v>0</v>
      </c>
      <c r="H559" s="25" t="s">
        <v>65</v>
      </c>
    </row>
    <row r="560" spans="1:8" ht="15.75" x14ac:dyDescent="0.25">
      <c r="A560" s="25" t="s">
        <v>628</v>
      </c>
      <c r="B560" s="25">
        <v>54</v>
      </c>
      <c r="C560" s="25" t="s">
        <v>78</v>
      </c>
      <c r="D560" s="26">
        <v>44450</v>
      </c>
      <c r="E560" s="25">
        <v>4</v>
      </c>
      <c r="F560" s="25">
        <v>4</v>
      </c>
      <c r="G560" s="25">
        <v>0</v>
      </c>
      <c r="H560" s="25" t="s">
        <v>65</v>
      </c>
    </row>
    <row r="561" spans="1:8" ht="15.75" x14ac:dyDescent="0.25">
      <c r="A561" s="25" t="s">
        <v>629</v>
      </c>
      <c r="B561" s="25">
        <v>36</v>
      </c>
      <c r="C561" s="25" t="s">
        <v>78</v>
      </c>
      <c r="D561" s="26">
        <v>35618</v>
      </c>
      <c r="E561" s="25">
        <v>18</v>
      </c>
      <c r="F561" s="25">
        <v>1</v>
      </c>
      <c r="G561" s="25">
        <v>0</v>
      </c>
      <c r="H561" s="25" t="s">
        <v>68</v>
      </c>
    </row>
    <row r="562" spans="1:8" ht="15.75" x14ac:dyDescent="0.25">
      <c r="A562" s="25" t="s">
        <v>630</v>
      </c>
      <c r="B562" s="25">
        <v>40</v>
      </c>
      <c r="C562" s="25" t="s">
        <v>78</v>
      </c>
      <c r="D562" s="26">
        <v>64263</v>
      </c>
      <c r="E562" s="25">
        <v>4</v>
      </c>
      <c r="F562" s="25">
        <v>3</v>
      </c>
      <c r="G562" s="25">
        <v>0</v>
      </c>
      <c r="H562" s="25" t="s">
        <v>65</v>
      </c>
    </row>
    <row r="563" spans="1:8" ht="15.75" x14ac:dyDescent="0.25">
      <c r="A563" s="25" t="s">
        <v>631</v>
      </c>
      <c r="B563" s="25">
        <v>46</v>
      </c>
      <c r="C563" s="25" t="s">
        <v>83</v>
      </c>
      <c r="D563" s="26">
        <v>97583</v>
      </c>
      <c r="E563" s="25">
        <v>14</v>
      </c>
      <c r="F563" s="25">
        <v>3</v>
      </c>
      <c r="G563" s="25">
        <v>1</v>
      </c>
      <c r="H563" s="25" t="s">
        <v>65</v>
      </c>
    </row>
    <row r="564" spans="1:8" ht="15.75" x14ac:dyDescent="0.25">
      <c r="A564" s="25" t="s">
        <v>632</v>
      </c>
      <c r="B564" s="25">
        <v>36</v>
      </c>
      <c r="C564" s="25" t="s">
        <v>83</v>
      </c>
      <c r="D564" s="26">
        <v>104900</v>
      </c>
      <c r="E564" s="25">
        <v>12</v>
      </c>
      <c r="F564" s="25">
        <v>1</v>
      </c>
      <c r="G564" s="25">
        <v>0</v>
      </c>
      <c r="H564" s="25" t="s">
        <v>68</v>
      </c>
    </row>
    <row r="565" spans="1:8" ht="15.75" x14ac:dyDescent="0.25">
      <c r="A565" s="25" t="s">
        <v>633</v>
      </c>
      <c r="B565" s="25">
        <v>26</v>
      </c>
      <c r="C565" s="25" t="s">
        <v>64</v>
      </c>
      <c r="D565" s="26">
        <v>58794</v>
      </c>
      <c r="E565" s="25">
        <v>16</v>
      </c>
      <c r="F565" s="25">
        <v>2</v>
      </c>
      <c r="G565" s="25">
        <v>1</v>
      </c>
      <c r="H565" s="25" t="s">
        <v>65</v>
      </c>
    </row>
    <row r="566" spans="1:8" ht="15.75" x14ac:dyDescent="0.25">
      <c r="A566" s="25" t="s">
        <v>634</v>
      </c>
      <c r="B566" s="25">
        <v>43</v>
      </c>
      <c r="C566" s="25" t="s">
        <v>67</v>
      </c>
      <c r="D566" s="26">
        <v>43091</v>
      </c>
      <c r="E566" s="25">
        <v>0</v>
      </c>
      <c r="F566" s="25">
        <v>3</v>
      </c>
      <c r="G566" s="25">
        <v>1</v>
      </c>
      <c r="H566" s="25" t="s">
        <v>65</v>
      </c>
    </row>
    <row r="567" spans="1:8" ht="15.75" x14ac:dyDescent="0.25">
      <c r="A567" s="25" t="s">
        <v>635</v>
      </c>
      <c r="B567" s="25">
        <v>57</v>
      </c>
      <c r="C567" s="25" t="s">
        <v>83</v>
      </c>
      <c r="D567" s="26">
        <v>98422</v>
      </c>
      <c r="E567" s="25">
        <v>13</v>
      </c>
      <c r="F567" s="25">
        <v>4</v>
      </c>
      <c r="G567" s="25">
        <v>0</v>
      </c>
      <c r="H567" s="25" t="s">
        <v>65</v>
      </c>
    </row>
    <row r="568" spans="1:8" ht="15.75" x14ac:dyDescent="0.25">
      <c r="A568" s="25" t="s">
        <v>636</v>
      </c>
      <c r="B568" s="25">
        <v>28</v>
      </c>
      <c r="C568" s="25" t="s">
        <v>70</v>
      </c>
      <c r="D568" s="26">
        <v>117108</v>
      </c>
      <c r="E568" s="25">
        <v>3</v>
      </c>
      <c r="F568" s="25">
        <v>2</v>
      </c>
      <c r="G568" s="25">
        <v>0</v>
      </c>
      <c r="H568" s="25" t="s">
        <v>65</v>
      </c>
    </row>
    <row r="569" spans="1:8" ht="15.75" x14ac:dyDescent="0.25">
      <c r="A569" s="25" t="s">
        <v>637</v>
      </c>
      <c r="B569" s="25">
        <v>26</v>
      </c>
      <c r="C569" s="25" t="s">
        <v>83</v>
      </c>
      <c r="D569" s="26">
        <v>45161</v>
      </c>
      <c r="E569" s="25">
        <v>8</v>
      </c>
      <c r="F569" s="25">
        <v>1</v>
      </c>
      <c r="G569" s="25">
        <v>0</v>
      </c>
      <c r="H569" s="25" t="s">
        <v>68</v>
      </c>
    </row>
    <row r="570" spans="1:8" ht="15.75" x14ac:dyDescent="0.25">
      <c r="A570" s="25" t="s">
        <v>638</v>
      </c>
      <c r="B570" s="25">
        <v>57</v>
      </c>
      <c r="C570" s="25" t="s">
        <v>78</v>
      </c>
      <c r="D570" s="26">
        <v>34158</v>
      </c>
      <c r="E570" s="25">
        <v>16</v>
      </c>
      <c r="F570" s="25">
        <v>1</v>
      </c>
      <c r="G570" s="25">
        <v>0</v>
      </c>
      <c r="H570" s="25" t="s">
        <v>65</v>
      </c>
    </row>
    <row r="571" spans="1:8" ht="15.75" x14ac:dyDescent="0.25">
      <c r="A571" s="25" t="s">
        <v>639</v>
      </c>
      <c r="B571" s="25">
        <v>42</v>
      </c>
      <c r="C571" s="25" t="s">
        <v>67</v>
      </c>
      <c r="D571" s="26">
        <v>57663</v>
      </c>
      <c r="E571" s="25">
        <v>2</v>
      </c>
      <c r="F571" s="25">
        <v>1</v>
      </c>
      <c r="G571" s="25">
        <v>0</v>
      </c>
      <c r="H571" s="25" t="s">
        <v>65</v>
      </c>
    </row>
    <row r="572" spans="1:8" ht="15.75" x14ac:dyDescent="0.25">
      <c r="A572" s="25" t="s">
        <v>640</v>
      </c>
      <c r="B572" s="25">
        <v>26</v>
      </c>
      <c r="C572" s="25" t="s">
        <v>64</v>
      </c>
      <c r="D572" s="26">
        <v>115381</v>
      </c>
      <c r="E572" s="25">
        <v>12</v>
      </c>
      <c r="F572" s="25">
        <v>1</v>
      </c>
      <c r="G572" s="25">
        <v>1</v>
      </c>
      <c r="H572" s="25" t="s">
        <v>65</v>
      </c>
    </row>
    <row r="573" spans="1:8" ht="15.75" x14ac:dyDescent="0.25">
      <c r="A573" s="25" t="s">
        <v>641</v>
      </c>
      <c r="B573" s="25">
        <v>52</v>
      </c>
      <c r="C573" s="25" t="s">
        <v>83</v>
      </c>
      <c r="D573" s="26">
        <v>36733</v>
      </c>
      <c r="E573" s="25">
        <v>11</v>
      </c>
      <c r="F573" s="25">
        <v>4</v>
      </c>
      <c r="G573" s="25">
        <v>0</v>
      </c>
      <c r="H573" s="25" t="s">
        <v>65</v>
      </c>
    </row>
    <row r="574" spans="1:8" ht="15.75" x14ac:dyDescent="0.25">
      <c r="A574" s="25" t="s">
        <v>642</v>
      </c>
      <c r="B574" s="25">
        <v>37</v>
      </c>
      <c r="C574" s="25" t="s">
        <v>78</v>
      </c>
      <c r="D574" s="26">
        <v>62001</v>
      </c>
      <c r="E574" s="25">
        <v>15</v>
      </c>
      <c r="F574" s="25">
        <v>4</v>
      </c>
      <c r="G574" s="25">
        <v>0</v>
      </c>
      <c r="H574" s="25" t="s">
        <v>65</v>
      </c>
    </row>
    <row r="575" spans="1:8" ht="15.75" x14ac:dyDescent="0.25">
      <c r="A575" s="25" t="s">
        <v>643</v>
      </c>
      <c r="B575" s="25">
        <v>58</v>
      </c>
      <c r="C575" s="25" t="s">
        <v>70</v>
      </c>
      <c r="D575" s="26">
        <v>69128</v>
      </c>
      <c r="E575" s="25">
        <v>3</v>
      </c>
      <c r="F575" s="25">
        <v>3</v>
      </c>
      <c r="G575" s="25">
        <v>0</v>
      </c>
      <c r="H575" s="25" t="s">
        <v>65</v>
      </c>
    </row>
    <row r="576" spans="1:8" ht="15.75" x14ac:dyDescent="0.25">
      <c r="A576" s="25" t="s">
        <v>644</v>
      </c>
      <c r="B576" s="25">
        <v>37</v>
      </c>
      <c r="C576" s="25" t="s">
        <v>70</v>
      </c>
      <c r="D576" s="26">
        <v>79630</v>
      </c>
      <c r="E576" s="25">
        <v>17</v>
      </c>
      <c r="F576" s="25">
        <v>4</v>
      </c>
      <c r="G576" s="25">
        <v>0</v>
      </c>
      <c r="H576" s="25" t="s">
        <v>65</v>
      </c>
    </row>
    <row r="577" spans="1:8" ht="15.75" x14ac:dyDescent="0.25">
      <c r="A577" s="25" t="s">
        <v>645</v>
      </c>
      <c r="B577" s="25">
        <v>57</v>
      </c>
      <c r="C577" s="25" t="s">
        <v>64</v>
      </c>
      <c r="D577" s="26">
        <v>39329</v>
      </c>
      <c r="E577" s="25">
        <v>2</v>
      </c>
      <c r="F577" s="25">
        <v>1</v>
      </c>
      <c r="G577" s="25">
        <v>0</v>
      </c>
      <c r="H577" s="25" t="s">
        <v>65</v>
      </c>
    </row>
    <row r="578" spans="1:8" ht="15.75" x14ac:dyDescent="0.25">
      <c r="A578" s="25" t="s">
        <v>646</v>
      </c>
      <c r="B578" s="25">
        <v>43</v>
      </c>
      <c r="C578" s="25" t="s">
        <v>64</v>
      </c>
      <c r="D578" s="26">
        <v>83105</v>
      </c>
      <c r="E578" s="25">
        <v>16</v>
      </c>
      <c r="F578" s="25">
        <v>4</v>
      </c>
      <c r="G578" s="25">
        <v>0</v>
      </c>
      <c r="H578" s="25" t="s">
        <v>65</v>
      </c>
    </row>
    <row r="579" spans="1:8" ht="15.75" x14ac:dyDescent="0.25">
      <c r="A579" s="25" t="s">
        <v>647</v>
      </c>
      <c r="B579" s="25">
        <v>33</v>
      </c>
      <c r="C579" s="25" t="s">
        <v>83</v>
      </c>
      <c r="D579" s="26">
        <v>93436</v>
      </c>
      <c r="E579" s="25">
        <v>0</v>
      </c>
      <c r="F579" s="25">
        <v>2</v>
      </c>
      <c r="G579" s="25">
        <v>0</v>
      </c>
      <c r="H579" s="25" t="s">
        <v>65</v>
      </c>
    </row>
    <row r="580" spans="1:8" ht="15.75" x14ac:dyDescent="0.25">
      <c r="A580" s="25" t="s">
        <v>648</v>
      </c>
      <c r="B580" s="25">
        <v>52</v>
      </c>
      <c r="C580" s="25" t="s">
        <v>64</v>
      </c>
      <c r="D580" s="26">
        <v>99579</v>
      </c>
      <c r="E580" s="25">
        <v>18</v>
      </c>
      <c r="F580" s="25">
        <v>2</v>
      </c>
      <c r="G580" s="25">
        <v>0</v>
      </c>
      <c r="H580" s="25" t="s">
        <v>65</v>
      </c>
    </row>
    <row r="581" spans="1:8" ht="15.75" x14ac:dyDescent="0.25">
      <c r="A581" s="25" t="s">
        <v>649</v>
      </c>
      <c r="B581" s="25">
        <v>42</v>
      </c>
      <c r="C581" s="25" t="s">
        <v>78</v>
      </c>
      <c r="D581" s="26">
        <v>44242</v>
      </c>
      <c r="E581" s="25">
        <v>3</v>
      </c>
      <c r="F581" s="25">
        <v>3</v>
      </c>
      <c r="G581" s="25">
        <v>0</v>
      </c>
      <c r="H581" s="25" t="s">
        <v>65</v>
      </c>
    </row>
    <row r="582" spans="1:8" ht="15.75" x14ac:dyDescent="0.25">
      <c r="A582" s="25" t="s">
        <v>650</v>
      </c>
      <c r="B582" s="25">
        <v>27</v>
      </c>
      <c r="C582" s="25" t="s">
        <v>78</v>
      </c>
      <c r="D582" s="26">
        <v>57133</v>
      </c>
      <c r="E582" s="25">
        <v>16</v>
      </c>
      <c r="F582" s="25">
        <v>1</v>
      </c>
      <c r="G582" s="25">
        <v>0</v>
      </c>
      <c r="H582" s="25" t="s">
        <v>65</v>
      </c>
    </row>
    <row r="583" spans="1:8" ht="15.75" x14ac:dyDescent="0.25">
      <c r="A583" s="25" t="s">
        <v>651</v>
      </c>
      <c r="B583" s="25">
        <v>42</v>
      </c>
      <c r="C583" s="25" t="s">
        <v>78</v>
      </c>
      <c r="D583" s="26">
        <v>54740</v>
      </c>
      <c r="E583" s="25">
        <v>6</v>
      </c>
      <c r="F583" s="25">
        <v>4</v>
      </c>
      <c r="G583" s="25">
        <v>1</v>
      </c>
      <c r="H583" s="25" t="s">
        <v>65</v>
      </c>
    </row>
    <row r="584" spans="1:8" ht="15.75" x14ac:dyDescent="0.25">
      <c r="A584" s="25" t="s">
        <v>652</v>
      </c>
      <c r="B584" s="25">
        <v>41</v>
      </c>
      <c r="C584" s="25" t="s">
        <v>83</v>
      </c>
      <c r="D584" s="26">
        <v>60976</v>
      </c>
      <c r="E584" s="25">
        <v>1</v>
      </c>
      <c r="F584" s="25">
        <v>3</v>
      </c>
      <c r="G584" s="25">
        <v>0</v>
      </c>
      <c r="H584" s="25" t="s">
        <v>65</v>
      </c>
    </row>
    <row r="585" spans="1:8" ht="15.75" x14ac:dyDescent="0.25">
      <c r="A585" s="25" t="s">
        <v>653</v>
      </c>
      <c r="B585" s="25">
        <v>26</v>
      </c>
      <c r="C585" s="25" t="s">
        <v>83</v>
      </c>
      <c r="D585" s="26">
        <v>70067</v>
      </c>
      <c r="E585" s="25">
        <v>11</v>
      </c>
      <c r="F585" s="25">
        <v>3</v>
      </c>
      <c r="G585" s="25">
        <v>0</v>
      </c>
      <c r="H585" s="25" t="s">
        <v>65</v>
      </c>
    </row>
    <row r="586" spans="1:8" ht="15.75" x14ac:dyDescent="0.25">
      <c r="A586" s="25" t="s">
        <v>654</v>
      </c>
      <c r="B586" s="25">
        <v>34</v>
      </c>
      <c r="C586" s="25" t="s">
        <v>64</v>
      </c>
      <c r="D586" s="26">
        <v>41231</v>
      </c>
      <c r="E586" s="25">
        <v>4</v>
      </c>
      <c r="F586" s="25">
        <v>4</v>
      </c>
      <c r="G586" s="25">
        <v>0</v>
      </c>
      <c r="H586" s="25" t="s">
        <v>68</v>
      </c>
    </row>
    <row r="587" spans="1:8" ht="15.75" x14ac:dyDescent="0.25">
      <c r="A587" s="25" t="s">
        <v>655</v>
      </c>
      <c r="B587" s="25">
        <v>36</v>
      </c>
      <c r="C587" s="25" t="s">
        <v>83</v>
      </c>
      <c r="D587" s="26">
        <v>96105</v>
      </c>
      <c r="E587" s="25">
        <v>15</v>
      </c>
      <c r="F587" s="25">
        <v>3</v>
      </c>
      <c r="G587" s="25">
        <v>0</v>
      </c>
      <c r="H587" s="25" t="s">
        <v>68</v>
      </c>
    </row>
    <row r="588" spans="1:8" ht="15.75" x14ac:dyDescent="0.25">
      <c r="A588" s="25" t="s">
        <v>656</v>
      </c>
      <c r="B588" s="25">
        <v>23</v>
      </c>
      <c r="C588" s="25" t="s">
        <v>78</v>
      </c>
      <c r="D588" s="26">
        <v>33328</v>
      </c>
      <c r="E588" s="25">
        <v>7</v>
      </c>
      <c r="F588" s="25">
        <v>1</v>
      </c>
      <c r="G588" s="25">
        <v>1</v>
      </c>
      <c r="H588" s="25" t="s">
        <v>65</v>
      </c>
    </row>
    <row r="589" spans="1:8" ht="15.75" x14ac:dyDescent="0.25">
      <c r="A589" s="25" t="s">
        <v>657</v>
      </c>
      <c r="B589" s="25">
        <v>29</v>
      </c>
      <c r="C589" s="25" t="s">
        <v>67</v>
      </c>
      <c r="D589" s="26">
        <v>55261</v>
      </c>
      <c r="E589" s="25">
        <v>7</v>
      </c>
      <c r="F589" s="25">
        <v>4</v>
      </c>
      <c r="G589" s="25">
        <v>1</v>
      </c>
      <c r="H589" s="25" t="s">
        <v>65</v>
      </c>
    </row>
    <row r="590" spans="1:8" ht="15.75" x14ac:dyDescent="0.25">
      <c r="A590" s="25" t="s">
        <v>658</v>
      </c>
      <c r="B590" s="25">
        <v>41</v>
      </c>
      <c r="C590" s="25" t="s">
        <v>78</v>
      </c>
      <c r="D590" s="26">
        <v>55262</v>
      </c>
      <c r="E590" s="25">
        <v>12</v>
      </c>
      <c r="F590" s="25">
        <v>2</v>
      </c>
      <c r="G590" s="25">
        <v>0</v>
      </c>
      <c r="H590" s="25" t="s">
        <v>65</v>
      </c>
    </row>
    <row r="591" spans="1:8" ht="15.75" x14ac:dyDescent="0.25">
      <c r="A591" s="25" t="s">
        <v>659</v>
      </c>
      <c r="B591" s="25">
        <v>50</v>
      </c>
      <c r="C591" s="25" t="s">
        <v>67</v>
      </c>
      <c r="D591" s="26">
        <v>33280</v>
      </c>
      <c r="E591" s="25">
        <v>13</v>
      </c>
      <c r="F591" s="25">
        <v>2</v>
      </c>
      <c r="G591" s="25">
        <v>1</v>
      </c>
      <c r="H591" s="25" t="s">
        <v>65</v>
      </c>
    </row>
    <row r="592" spans="1:8" ht="15.75" x14ac:dyDescent="0.25">
      <c r="A592" s="25" t="s">
        <v>660</v>
      </c>
      <c r="B592" s="25">
        <v>50</v>
      </c>
      <c r="C592" s="25" t="s">
        <v>64</v>
      </c>
      <c r="D592" s="26">
        <v>114683</v>
      </c>
      <c r="E592" s="25">
        <v>10</v>
      </c>
      <c r="F592" s="25">
        <v>4</v>
      </c>
      <c r="G592" s="25">
        <v>1</v>
      </c>
      <c r="H592" s="25" t="s">
        <v>65</v>
      </c>
    </row>
    <row r="593" spans="1:8" ht="15.75" x14ac:dyDescent="0.25">
      <c r="A593" s="25" t="s">
        <v>661</v>
      </c>
      <c r="B593" s="25">
        <v>52</v>
      </c>
      <c r="C593" s="25" t="s">
        <v>70</v>
      </c>
      <c r="D593" s="26">
        <v>61742</v>
      </c>
      <c r="E593" s="25">
        <v>5</v>
      </c>
      <c r="F593" s="25">
        <v>3</v>
      </c>
      <c r="G593" s="25">
        <v>0</v>
      </c>
      <c r="H593" s="25" t="s">
        <v>65</v>
      </c>
    </row>
    <row r="594" spans="1:8" ht="15.75" x14ac:dyDescent="0.25">
      <c r="A594" s="25" t="s">
        <v>662</v>
      </c>
      <c r="B594" s="25">
        <v>43</v>
      </c>
      <c r="C594" s="25" t="s">
        <v>83</v>
      </c>
      <c r="D594" s="26">
        <v>33590</v>
      </c>
      <c r="E594" s="25">
        <v>15</v>
      </c>
      <c r="F594" s="25">
        <v>3</v>
      </c>
      <c r="G594" s="25">
        <v>1</v>
      </c>
      <c r="H594" s="25" t="s">
        <v>65</v>
      </c>
    </row>
    <row r="595" spans="1:8" ht="15.75" x14ac:dyDescent="0.25">
      <c r="A595" s="25" t="s">
        <v>663</v>
      </c>
      <c r="B595" s="25">
        <v>23</v>
      </c>
      <c r="C595" s="25" t="s">
        <v>83</v>
      </c>
      <c r="D595" s="26">
        <v>80226</v>
      </c>
      <c r="E595" s="25">
        <v>14</v>
      </c>
      <c r="F595" s="25">
        <v>2</v>
      </c>
      <c r="G595" s="25">
        <v>0</v>
      </c>
      <c r="H595" s="25" t="s">
        <v>65</v>
      </c>
    </row>
    <row r="596" spans="1:8" ht="15.75" x14ac:dyDescent="0.25">
      <c r="A596" s="25" t="s">
        <v>664</v>
      </c>
      <c r="B596" s="25">
        <v>21</v>
      </c>
      <c r="C596" s="25" t="s">
        <v>78</v>
      </c>
      <c r="D596" s="26">
        <v>117542</v>
      </c>
      <c r="E596" s="25">
        <v>15</v>
      </c>
      <c r="F596" s="25">
        <v>2</v>
      </c>
      <c r="G596" s="25">
        <v>0</v>
      </c>
      <c r="H596" s="25" t="s">
        <v>68</v>
      </c>
    </row>
    <row r="597" spans="1:8" ht="15.75" x14ac:dyDescent="0.25">
      <c r="A597" s="25" t="s">
        <v>665</v>
      </c>
      <c r="B597" s="25">
        <v>23</v>
      </c>
      <c r="C597" s="25" t="s">
        <v>78</v>
      </c>
      <c r="D597" s="26">
        <v>43570</v>
      </c>
      <c r="E597" s="25">
        <v>12</v>
      </c>
      <c r="F597" s="25">
        <v>1</v>
      </c>
      <c r="G597" s="25">
        <v>1</v>
      </c>
      <c r="H597" s="25" t="s">
        <v>65</v>
      </c>
    </row>
    <row r="598" spans="1:8" ht="15.75" x14ac:dyDescent="0.25">
      <c r="A598" s="25" t="s">
        <v>666</v>
      </c>
      <c r="B598" s="25">
        <v>57</v>
      </c>
      <c r="C598" s="25" t="s">
        <v>67</v>
      </c>
      <c r="D598" s="26">
        <v>119443</v>
      </c>
      <c r="E598" s="25">
        <v>11</v>
      </c>
      <c r="F598" s="25">
        <v>3</v>
      </c>
      <c r="G598" s="25">
        <v>0</v>
      </c>
      <c r="H598" s="25" t="s">
        <v>65</v>
      </c>
    </row>
    <row r="599" spans="1:8" ht="15.75" x14ac:dyDescent="0.25">
      <c r="A599" s="25" t="s">
        <v>667</v>
      </c>
      <c r="B599" s="25">
        <v>27</v>
      </c>
      <c r="C599" s="25" t="s">
        <v>83</v>
      </c>
      <c r="D599" s="26">
        <v>39533</v>
      </c>
      <c r="E599" s="25">
        <v>17</v>
      </c>
      <c r="F599" s="25">
        <v>1</v>
      </c>
      <c r="G599" s="25">
        <v>1</v>
      </c>
      <c r="H599" s="25" t="s">
        <v>65</v>
      </c>
    </row>
    <row r="600" spans="1:8" ht="15.75" x14ac:dyDescent="0.25">
      <c r="A600" s="25" t="s">
        <v>668</v>
      </c>
      <c r="B600" s="25">
        <v>23</v>
      </c>
      <c r="C600" s="25" t="s">
        <v>64</v>
      </c>
      <c r="D600" s="26">
        <v>112283</v>
      </c>
      <c r="E600" s="25">
        <v>17</v>
      </c>
      <c r="F600" s="25">
        <v>2</v>
      </c>
      <c r="G600" s="25">
        <v>0</v>
      </c>
      <c r="H600" s="25" t="s">
        <v>65</v>
      </c>
    </row>
    <row r="601" spans="1:8" ht="15.75" x14ac:dyDescent="0.25">
      <c r="A601" s="25" t="s">
        <v>669</v>
      </c>
      <c r="B601" s="25">
        <v>56</v>
      </c>
      <c r="C601" s="25" t="s">
        <v>78</v>
      </c>
      <c r="D601" s="26">
        <v>43366</v>
      </c>
      <c r="E601" s="25">
        <v>13</v>
      </c>
      <c r="F601" s="25">
        <v>2</v>
      </c>
      <c r="G601" s="25">
        <v>1</v>
      </c>
      <c r="H601" s="25" t="s">
        <v>65</v>
      </c>
    </row>
    <row r="602" spans="1:8" ht="15.75" x14ac:dyDescent="0.25">
      <c r="A602" s="25" t="s">
        <v>670</v>
      </c>
      <c r="B602" s="25">
        <v>23</v>
      </c>
      <c r="C602" s="25" t="s">
        <v>83</v>
      </c>
      <c r="D602" s="26">
        <v>106368</v>
      </c>
      <c r="E602" s="25">
        <v>1</v>
      </c>
      <c r="F602" s="25">
        <v>2</v>
      </c>
      <c r="G602" s="25">
        <v>0</v>
      </c>
      <c r="H602" s="25" t="s">
        <v>65</v>
      </c>
    </row>
    <row r="603" spans="1:8" ht="15.75" x14ac:dyDescent="0.25">
      <c r="A603" s="25" t="s">
        <v>671</v>
      </c>
      <c r="B603" s="25">
        <v>24</v>
      </c>
      <c r="C603" s="25" t="s">
        <v>70</v>
      </c>
      <c r="D603" s="26">
        <v>58325</v>
      </c>
      <c r="E603" s="25">
        <v>1</v>
      </c>
      <c r="F603" s="25">
        <v>2</v>
      </c>
      <c r="G603" s="25">
        <v>0</v>
      </c>
      <c r="H603" s="25" t="s">
        <v>65</v>
      </c>
    </row>
    <row r="604" spans="1:8" ht="15.75" x14ac:dyDescent="0.25">
      <c r="A604" s="25" t="s">
        <v>672</v>
      </c>
      <c r="B604" s="25">
        <v>51</v>
      </c>
      <c r="C604" s="25" t="s">
        <v>67</v>
      </c>
      <c r="D604" s="26">
        <v>64798</v>
      </c>
      <c r="E604" s="25">
        <v>2</v>
      </c>
      <c r="F604" s="25">
        <v>1</v>
      </c>
      <c r="G604" s="25">
        <v>0</v>
      </c>
      <c r="H604" s="25" t="s">
        <v>68</v>
      </c>
    </row>
    <row r="605" spans="1:8" ht="15.75" x14ac:dyDescent="0.25">
      <c r="A605" s="25" t="s">
        <v>673</v>
      </c>
      <c r="B605" s="25">
        <v>22</v>
      </c>
      <c r="C605" s="25" t="s">
        <v>78</v>
      </c>
      <c r="D605" s="26">
        <v>69453</v>
      </c>
      <c r="E605" s="25">
        <v>7</v>
      </c>
      <c r="F605" s="25">
        <v>2</v>
      </c>
      <c r="G605" s="25">
        <v>1</v>
      </c>
      <c r="H605" s="25" t="s">
        <v>65</v>
      </c>
    </row>
    <row r="606" spans="1:8" ht="15.75" x14ac:dyDescent="0.25">
      <c r="A606" s="25" t="s">
        <v>674</v>
      </c>
      <c r="B606" s="25">
        <v>34</v>
      </c>
      <c r="C606" s="25" t="s">
        <v>78</v>
      </c>
      <c r="D606" s="26">
        <v>52849</v>
      </c>
      <c r="E606" s="25">
        <v>10</v>
      </c>
      <c r="F606" s="25">
        <v>4</v>
      </c>
      <c r="G606" s="25">
        <v>0</v>
      </c>
      <c r="H606" s="25" t="s">
        <v>68</v>
      </c>
    </row>
    <row r="607" spans="1:8" ht="15.75" x14ac:dyDescent="0.25">
      <c r="A607" s="25" t="s">
        <v>675</v>
      </c>
      <c r="B607" s="25">
        <v>57</v>
      </c>
      <c r="C607" s="25" t="s">
        <v>64</v>
      </c>
      <c r="D607" s="26">
        <v>85943</v>
      </c>
      <c r="E607" s="25">
        <v>11</v>
      </c>
      <c r="F607" s="25">
        <v>3</v>
      </c>
      <c r="G607" s="25">
        <v>0</v>
      </c>
      <c r="H607" s="25" t="s">
        <v>65</v>
      </c>
    </row>
    <row r="608" spans="1:8" ht="15.75" x14ac:dyDescent="0.25">
      <c r="A608" s="25" t="s">
        <v>676</v>
      </c>
      <c r="B608" s="25">
        <v>51</v>
      </c>
      <c r="C608" s="25" t="s">
        <v>78</v>
      </c>
      <c r="D608" s="26">
        <v>36157</v>
      </c>
      <c r="E608" s="25">
        <v>3</v>
      </c>
      <c r="F608" s="25">
        <v>2</v>
      </c>
      <c r="G608" s="25">
        <v>0</v>
      </c>
      <c r="H608" s="25" t="s">
        <v>65</v>
      </c>
    </row>
    <row r="609" spans="1:8" ht="15.75" x14ac:dyDescent="0.25">
      <c r="A609" s="25" t="s">
        <v>677</v>
      </c>
      <c r="B609" s="25">
        <v>22</v>
      </c>
      <c r="C609" s="25" t="s">
        <v>83</v>
      </c>
      <c r="D609" s="26">
        <v>60178</v>
      </c>
      <c r="E609" s="25">
        <v>8</v>
      </c>
      <c r="F609" s="25">
        <v>3</v>
      </c>
      <c r="G609" s="25">
        <v>0</v>
      </c>
      <c r="H609" s="25" t="s">
        <v>65</v>
      </c>
    </row>
    <row r="610" spans="1:8" ht="15.75" x14ac:dyDescent="0.25">
      <c r="A610" s="25" t="s">
        <v>678</v>
      </c>
      <c r="B610" s="25">
        <v>51</v>
      </c>
      <c r="C610" s="25" t="s">
        <v>83</v>
      </c>
      <c r="D610" s="26">
        <v>112537</v>
      </c>
      <c r="E610" s="25">
        <v>16</v>
      </c>
      <c r="F610" s="25">
        <v>2</v>
      </c>
      <c r="G610" s="25">
        <v>1</v>
      </c>
      <c r="H610" s="25" t="s">
        <v>65</v>
      </c>
    </row>
    <row r="611" spans="1:8" ht="15.75" x14ac:dyDescent="0.25">
      <c r="A611" s="25" t="s">
        <v>679</v>
      </c>
      <c r="B611" s="25">
        <v>42</v>
      </c>
      <c r="C611" s="25" t="s">
        <v>83</v>
      </c>
      <c r="D611" s="26">
        <v>59030</v>
      </c>
      <c r="E611" s="25">
        <v>15</v>
      </c>
      <c r="F611" s="25">
        <v>1</v>
      </c>
      <c r="G611" s="25">
        <v>0</v>
      </c>
      <c r="H611" s="25" t="s">
        <v>68</v>
      </c>
    </row>
    <row r="612" spans="1:8" ht="15.75" x14ac:dyDescent="0.25">
      <c r="A612" s="25" t="s">
        <v>680</v>
      </c>
      <c r="B612" s="25">
        <v>30</v>
      </c>
      <c r="C612" s="25" t="s">
        <v>70</v>
      </c>
      <c r="D612" s="26">
        <v>81134</v>
      </c>
      <c r="E612" s="25">
        <v>16</v>
      </c>
      <c r="F612" s="25">
        <v>3</v>
      </c>
      <c r="G612" s="25">
        <v>0</v>
      </c>
      <c r="H612" s="25" t="s">
        <v>65</v>
      </c>
    </row>
    <row r="613" spans="1:8" ht="15.75" x14ac:dyDescent="0.25">
      <c r="A613" s="25" t="s">
        <v>681</v>
      </c>
      <c r="B613" s="25">
        <v>50</v>
      </c>
      <c r="C613" s="25" t="s">
        <v>70</v>
      </c>
      <c r="D613" s="26">
        <v>95729</v>
      </c>
      <c r="E613" s="25">
        <v>14</v>
      </c>
      <c r="F613" s="25">
        <v>1</v>
      </c>
      <c r="G613" s="25">
        <v>0</v>
      </c>
      <c r="H613" s="25" t="s">
        <v>65</v>
      </c>
    </row>
    <row r="614" spans="1:8" ht="15.75" x14ac:dyDescent="0.25">
      <c r="A614" s="25" t="s">
        <v>682</v>
      </c>
      <c r="B614" s="25">
        <v>53</v>
      </c>
      <c r="C614" s="25" t="s">
        <v>78</v>
      </c>
      <c r="D614" s="26">
        <v>38164</v>
      </c>
      <c r="E614" s="25">
        <v>19</v>
      </c>
      <c r="F614" s="25">
        <v>2</v>
      </c>
      <c r="G614" s="25">
        <v>0</v>
      </c>
      <c r="H614" s="25" t="s">
        <v>65</v>
      </c>
    </row>
    <row r="615" spans="1:8" ht="15.75" x14ac:dyDescent="0.25">
      <c r="A615" s="25" t="s">
        <v>683</v>
      </c>
      <c r="B615" s="25">
        <v>39</v>
      </c>
      <c r="C615" s="25" t="s">
        <v>70</v>
      </c>
      <c r="D615" s="26">
        <v>116378</v>
      </c>
      <c r="E615" s="25">
        <v>6</v>
      </c>
      <c r="F615" s="25">
        <v>4</v>
      </c>
      <c r="G615" s="25">
        <v>0</v>
      </c>
      <c r="H615" s="25" t="s">
        <v>65</v>
      </c>
    </row>
    <row r="616" spans="1:8" ht="15.75" x14ac:dyDescent="0.25">
      <c r="A616" s="25" t="s">
        <v>684</v>
      </c>
      <c r="B616" s="25">
        <v>45</v>
      </c>
      <c r="C616" s="25" t="s">
        <v>70</v>
      </c>
      <c r="D616" s="26">
        <v>31119</v>
      </c>
      <c r="E616" s="25">
        <v>9</v>
      </c>
      <c r="F616" s="25">
        <v>4</v>
      </c>
      <c r="G616" s="25">
        <v>1</v>
      </c>
      <c r="H616" s="25" t="s">
        <v>68</v>
      </c>
    </row>
    <row r="617" spans="1:8" ht="15.75" x14ac:dyDescent="0.25">
      <c r="A617" s="25" t="s">
        <v>685</v>
      </c>
      <c r="B617" s="25">
        <v>21</v>
      </c>
      <c r="C617" s="25" t="s">
        <v>64</v>
      </c>
      <c r="D617" s="26">
        <v>43351</v>
      </c>
      <c r="E617" s="25">
        <v>3</v>
      </c>
      <c r="F617" s="25">
        <v>4</v>
      </c>
      <c r="G617" s="25">
        <v>1</v>
      </c>
      <c r="H617" s="25" t="s">
        <v>65</v>
      </c>
    </row>
    <row r="618" spans="1:8" ht="15.75" x14ac:dyDescent="0.25">
      <c r="A618" s="25" t="s">
        <v>686</v>
      </c>
      <c r="B618" s="25">
        <v>52</v>
      </c>
      <c r="C618" s="25" t="s">
        <v>70</v>
      </c>
      <c r="D618" s="26">
        <v>86063</v>
      </c>
      <c r="E618" s="25">
        <v>13</v>
      </c>
      <c r="F618" s="25">
        <v>4</v>
      </c>
      <c r="G618" s="25">
        <v>0</v>
      </c>
      <c r="H618" s="25" t="s">
        <v>65</v>
      </c>
    </row>
    <row r="619" spans="1:8" ht="15.75" x14ac:dyDescent="0.25">
      <c r="A619" s="25" t="s">
        <v>687</v>
      </c>
      <c r="B619" s="25">
        <v>45</v>
      </c>
      <c r="C619" s="25" t="s">
        <v>67</v>
      </c>
      <c r="D619" s="26">
        <v>102076</v>
      </c>
      <c r="E619" s="25">
        <v>13</v>
      </c>
      <c r="F619" s="25">
        <v>4</v>
      </c>
      <c r="G619" s="25">
        <v>0</v>
      </c>
      <c r="H619" s="25" t="s">
        <v>65</v>
      </c>
    </row>
    <row r="620" spans="1:8" ht="15.75" x14ac:dyDescent="0.25">
      <c r="A620" s="25" t="s">
        <v>688</v>
      </c>
      <c r="B620" s="25">
        <v>37</v>
      </c>
      <c r="C620" s="25" t="s">
        <v>67</v>
      </c>
      <c r="D620" s="26">
        <v>75162</v>
      </c>
      <c r="E620" s="25">
        <v>13</v>
      </c>
      <c r="F620" s="25">
        <v>1</v>
      </c>
      <c r="G620" s="25">
        <v>1</v>
      </c>
      <c r="H620" s="25" t="s">
        <v>65</v>
      </c>
    </row>
    <row r="621" spans="1:8" ht="15.75" x14ac:dyDescent="0.25">
      <c r="A621" s="25" t="s">
        <v>689</v>
      </c>
      <c r="B621" s="25">
        <v>34</v>
      </c>
      <c r="C621" s="25" t="s">
        <v>67</v>
      </c>
      <c r="D621" s="26">
        <v>61760</v>
      </c>
      <c r="E621" s="25">
        <v>13</v>
      </c>
      <c r="F621" s="25">
        <v>4</v>
      </c>
      <c r="G621" s="25">
        <v>0</v>
      </c>
      <c r="H621" s="25" t="s">
        <v>65</v>
      </c>
    </row>
    <row r="622" spans="1:8" ht="15.75" x14ac:dyDescent="0.25">
      <c r="A622" s="25" t="s">
        <v>690</v>
      </c>
      <c r="B622" s="25">
        <v>33</v>
      </c>
      <c r="C622" s="25" t="s">
        <v>78</v>
      </c>
      <c r="D622" s="26">
        <v>79678</v>
      </c>
      <c r="E622" s="25">
        <v>19</v>
      </c>
      <c r="F622" s="25">
        <v>2</v>
      </c>
      <c r="G622" s="25">
        <v>0</v>
      </c>
      <c r="H622" s="25" t="s">
        <v>65</v>
      </c>
    </row>
    <row r="623" spans="1:8" ht="15.75" x14ac:dyDescent="0.25">
      <c r="A623" s="25" t="s">
        <v>691</v>
      </c>
      <c r="B623" s="25">
        <v>58</v>
      </c>
      <c r="C623" s="25" t="s">
        <v>83</v>
      </c>
      <c r="D623" s="26">
        <v>119074</v>
      </c>
      <c r="E623" s="25">
        <v>17</v>
      </c>
      <c r="F623" s="25">
        <v>1</v>
      </c>
      <c r="G623" s="25">
        <v>0</v>
      </c>
      <c r="H623" s="25" t="s">
        <v>65</v>
      </c>
    </row>
    <row r="624" spans="1:8" ht="15.75" x14ac:dyDescent="0.25">
      <c r="A624" s="25" t="s">
        <v>692</v>
      </c>
      <c r="B624" s="25">
        <v>59</v>
      </c>
      <c r="C624" s="25" t="s">
        <v>64</v>
      </c>
      <c r="D624" s="26">
        <v>77628</v>
      </c>
      <c r="E624" s="25">
        <v>14</v>
      </c>
      <c r="F624" s="25">
        <v>1</v>
      </c>
      <c r="G624" s="25">
        <v>0</v>
      </c>
      <c r="H624" s="25" t="s">
        <v>65</v>
      </c>
    </row>
    <row r="625" spans="1:8" ht="15.75" x14ac:dyDescent="0.25">
      <c r="A625" s="25" t="s">
        <v>693</v>
      </c>
      <c r="B625" s="25">
        <v>22</v>
      </c>
      <c r="C625" s="25" t="s">
        <v>78</v>
      </c>
      <c r="D625" s="26">
        <v>70739</v>
      </c>
      <c r="E625" s="25">
        <v>18</v>
      </c>
      <c r="F625" s="25">
        <v>4</v>
      </c>
      <c r="G625" s="25">
        <v>0</v>
      </c>
      <c r="H625" s="25" t="s">
        <v>65</v>
      </c>
    </row>
    <row r="626" spans="1:8" ht="15.75" x14ac:dyDescent="0.25">
      <c r="A626" s="25" t="s">
        <v>694</v>
      </c>
      <c r="B626" s="25">
        <v>52</v>
      </c>
      <c r="C626" s="25" t="s">
        <v>83</v>
      </c>
      <c r="D626" s="26">
        <v>59738</v>
      </c>
      <c r="E626" s="25">
        <v>12</v>
      </c>
      <c r="F626" s="25">
        <v>3</v>
      </c>
      <c r="G626" s="25">
        <v>1</v>
      </c>
      <c r="H626" s="25" t="s">
        <v>65</v>
      </c>
    </row>
    <row r="627" spans="1:8" ht="15.75" x14ac:dyDescent="0.25">
      <c r="A627" s="25" t="s">
        <v>695</v>
      </c>
      <c r="B627" s="25">
        <v>52</v>
      </c>
      <c r="C627" s="25" t="s">
        <v>64</v>
      </c>
      <c r="D627" s="26">
        <v>76921</v>
      </c>
      <c r="E627" s="25">
        <v>11</v>
      </c>
      <c r="F627" s="25">
        <v>2</v>
      </c>
      <c r="G627" s="25">
        <v>0</v>
      </c>
      <c r="H627" s="25" t="s">
        <v>65</v>
      </c>
    </row>
    <row r="628" spans="1:8" ht="15.75" x14ac:dyDescent="0.25">
      <c r="A628" s="25" t="s">
        <v>696</v>
      </c>
      <c r="B628" s="25">
        <v>26</v>
      </c>
      <c r="C628" s="25" t="s">
        <v>64</v>
      </c>
      <c r="D628" s="26">
        <v>91068</v>
      </c>
      <c r="E628" s="25">
        <v>18</v>
      </c>
      <c r="F628" s="25">
        <v>1</v>
      </c>
      <c r="G628" s="25">
        <v>1</v>
      </c>
      <c r="H628" s="25" t="s">
        <v>65</v>
      </c>
    </row>
    <row r="629" spans="1:8" ht="15.75" x14ac:dyDescent="0.25">
      <c r="A629" s="25" t="s">
        <v>697</v>
      </c>
      <c r="B629" s="25">
        <v>45</v>
      </c>
      <c r="C629" s="25" t="s">
        <v>64</v>
      </c>
      <c r="D629" s="26">
        <v>53581</v>
      </c>
      <c r="E629" s="25">
        <v>18</v>
      </c>
      <c r="F629" s="25">
        <v>2</v>
      </c>
      <c r="G629" s="25">
        <v>0</v>
      </c>
      <c r="H629" s="25" t="s">
        <v>65</v>
      </c>
    </row>
    <row r="630" spans="1:8" ht="15.75" x14ac:dyDescent="0.25">
      <c r="A630" s="25" t="s">
        <v>698</v>
      </c>
      <c r="B630" s="25">
        <v>23</v>
      </c>
      <c r="C630" s="25" t="s">
        <v>67</v>
      </c>
      <c r="D630" s="26">
        <v>51485</v>
      </c>
      <c r="E630" s="25">
        <v>19</v>
      </c>
      <c r="F630" s="25">
        <v>3</v>
      </c>
      <c r="G630" s="25">
        <v>0</v>
      </c>
      <c r="H630" s="25" t="s">
        <v>65</v>
      </c>
    </row>
    <row r="631" spans="1:8" ht="15.75" x14ac:dyDescent="0.25">
      <c r="A631" s="25" t="s">
        <v>699</v>
      </c>
      <c r="B631" s="25">
        <v>38</v>
      </c>
      <c r="C631" s="25" t="s">
        <v>67</v>
      </c>
      <c r="D631" s="26">
        <v>66294</v>
      </c>
      <c r="E631" s="25">
        <v>1</v>
      </c>
      <c r="F631" s="25">
        <v>1</v>
      </c>
      <c r="G631" s="25">
        <v>0</v>
      </c>
      <c r="H631" s="25" t="s">
        <v>68</v>
      </c>
    </row>
    <row r="632" spans="1:8" ht="15.75" x14ac:dyDescent="0.25">
      <c r="A632" s="25" t="s">
        <v>700</v>
      </c>
      <c r="B632" s="25">
        <v>58</v>
      </c>
      <c r="C632" s="25" t="s">
        <v>67</v>
      </c>
      <c r="D632" s="26">
        <v>83001</v>
      </c>
      <c r="E632" s="25">
        <v>2</v>
      </c>
      <c r="F632" s="25">
        <v>2</v>
      </c>
      <c r="G632" s="25">
        <v>1</v>
      </c>
      <c r="H632" s="25" t="s">
        <v>65</v>
      </c>
    </row>
    <row r="633" spans="1:8" ht="15.75" x14ac:dyDescent="0.25">
      <c r="A633" s="25" t="s">
        <v>701</v>
      </c>
      <c r="B633" s="25">
        <v>23</v>
      </c>
      <c r="C633" s="25" t="s">
        <v>64</v>
      </c>
      <c r="D633" s="26">
        <v>31634</v>
      </c>
      <c r="E633" s="25">
        <v>9</v>
      </c>
      <c r="F633" s="25">
        <v>4</v>
      </c>
      <c r="G633" s="25">
        <v>0</v>
      </c>
      <c r="H633" s="25" t="s">
        <v>65</v>
      </c>
    </row>
    <row r="634" spans="1:8" ht="15.75" x14ac:dyDescent="0.25">
      <c r="A634" s="25" t="s">
        <v>702</v>
      </c>
      <c r="B634" s="25">
        <v>25</v>
      </c>
      <c r="C634" s="25" t="s">
        <v>64</v>
      </c>
      <c r="D634" s="26">
        <v>73969</v>
      </c>
      <c r="E634" s="25">
        <v>4</v>
      </c>
      <c r="F634" s="25">
        <v>1</v>
      </c>
      <c r="G634" s="25">
        <v>0</v>
      </c>
      <c r="H634" s="25" t="s">
        <v>65</v>
      </c>
    </row>
    <row r="635" spans="1:8" ht="15.75" x14ac:dyDescent="0.25">
      <c r="A635" s="25" t="s">
        <v>703</v>
      </c>
      <c r="B635" s="25">
        <v>44</v>
      </c>
      <c r="C635" s="25" t="s">
        <v>67</v>
      </c>
      <c r="D635" s="26">
        <v>30093</v>
      </c>
      <c r="E635" s="25">
        <v>11</v>
      </c>
      <c r="F635" s="25">
        <v>1</v>
      </c>
      <c r="G635" s="25">
        <v>1</v>
      </c>
      <c r="H635" s="25" t="s">
        <v>65</v>
      </c>
    </row>
    <row r="636" spans="1:8" ht="15.75" x14ac:dyDescent="0.25">
      <c r="A636" s="25" t="s">
        <v>704</v>
      </c>
      <c r="B636" s="25">
        <v>54</v>
      </c>
      <c r="C636" s="25" t="s">
        <v>64</v>
      </c>
      <c r="D636" s="26">
        <v>58370</v>
      </c>
      <c r="E636" s="25">
        <v>6</v>
      </c>
      <c r="F636" s="25">
        <v>1</v>
      </c>
      <c r="G636" s="25">
        <v>1</v>
      </c>
      <c r="H636" s="25" t="s">
        <v>65</v>
      </c>
    </row>
    <row r="637" spans="1:8" ht="15.75" x14ac:dyDescent="0.25">
      <c r="A637" s="25" t="s">
        <v>705</v>
      </c>
      <c r="B637" s="25">
        <v>59</v>
      </c>
      <c r="C637" s="25" t="s">
        <v>67</v>
      </c>
      <c r="D637" s="26">
        <v>49750</v>
      </c>
      <c r="E637" s="25">
        <v>8</v>
      </c>
      <c r="F637" s="25">
        <v>1</v>
      </c>
      <c r="G637" s="25">
        <v>1</v>
      </c>
      <c r="H637" s="25" t="s">
        <v>65</v>
      </c>
    </row>
    <row r="638" spans="1:8" ht="15.75" x14ac:dyDescent="0.25">
      <c r="A638" s="25" t="s">
        <v>706</v>
      </c>
      <c r="B638" s="25">
        <v>44</v>
      </c>
      <c r="C638" s="25" t="s">
        <v>67</v>
      </c>
      <c r="D638" s="26">
        <v>46472</v>
      </c>
      <c r="E638" s="25">
        <v>1</v>
      </c>
      <c r="F638" s="25">
        <v>4</v>
      </c>
      <c r="G638" s="25">
        <v>0</v>
      </c>
      <c r="H638" s="25" t="s">
        <v>65</v>
      </c>
    </row>
    <row r="639" spans="1:8" ht="15.75" x14ac:dyDescent="0.25">
      <c r="A639" s="25" t="s">
        <v>707</v>
      </c>
      <c r="B639" s="25">
        <v>56</v>
      </c>
      <c r="C639" s="25" t="s">
        <v>67</v>
      </c>
      <c r="D639" s="26">
        <v>48934</v>
      </c>
      <c r="E639" s="25">
        <v>9</v>
      </c>
      <c r="F639" s="25">
        <v>3</v>
      </c>
      <c r="G639" s="25">
        <v>1</v>
      </c>
      <c r="H639" s="25" t="s">
        <v>65</v>
      </c>
    </row>
    <row r="640" spans="1:8" ht="15.75" x14ac:dyDescent="0.25">
      <c r="A640" s="25" t="s">
        <v>708</v>
      </c>
      <c r="B640" s="25">
        <v>48</v>
      </c>
      <c r="C640" s="25" t="s">
        <v>83</v>
      </c>
      <c r="D640" s="26">
        <v>73774</v>
      </c>
      <c r="E640" s="25">
        <v>5</v>
      </c>
      <c r="F640" s="25">
        <v>3</v>
      </c>
      <c r="G640" s="25">
        <v>0</v>
      </c>
      <c r="H640" s="25" t="s">
        <v>65</v>
      </c>
    </row>
    <row r="641" spans="1:8" ht="15.75" x14ac:dyDescent="0.25">
      <c r="A641" s="25" t="s">
        <v>709</v>
      </c>
      <c r="B641" s="25">
        <v>54</v>
      </c>
      <c r="C641" s="25" t="s">
        <v>64</v>
      </c>
      <c r="D641" s="26">
        <v>118057</v>
      </c>
      <c r="E641" s="25">
        <v>11</v>
      </c>
      <c r="F641" s="25">
        <v>2</v>
      </c>
      <c r="G641" s="25">
        <v>1</v>
      </c>
      <c r="H641" s="25" t="s">
        <v>65</v>
      </c>
    </row>
    <row r="642" spans="1:8" ht="15.75" x14ac:dyDescent="0.25">
      <c r="A642" s="25" t="s">
        <v>710</v>
      </c>
      <c r="B642" s="25">
        <v>36</v>
      </c>
      <c r="C642" s="25" t="s">
        <v>78</v>
      </c>
      <c r="D642" s="26">
        <v>69125</v>
      </c>
      <c r="E642" s="25">
        <v>5</v>
      </c>
      <c r="F642" s="25">
        <v>4</v>
      </c>
      <c r="G642" s="25">
        <v>1</v>
      </c>
      <c r="H642" s="25" t="s">
        <v>65</v>
      </c>
    </row>
    <row r="643" spans="1:8" ht="15.75" x14ac:dyDescent="0.25">
      <c r="A643" s="25" t="s">
        <v>711</v>
      </c>
      <c r="B643" s="25">
        <v>56</v>
      </c>
      <c r="C643" s="25" t="s">
        <v>67</v>
      </c>
      <c r="D643" s="26">
        <v>96981</v>
      </c>
      <c r="E643" s="25">
        <v>2</v>
      </c>
      <c r="F643" s="25">
        <v>4</v>
      </c>
      <c r="G643" s="25">
        <v>1</v>
      </c>
      <c r="H643" s="25" t="s">
        <v>65</v>
      </c>
    </row>
    <row r="644" spans="1:8" ht="15.75" x14ac:dyDescent="0.25">
      <c r="A644" s="25" t="s">
        <v>712</v>
      </c>
      <c r="B644" s="25">
        <v>27</v>
      </c>
      <c r="C644" s="25" t="s">
        <v>78</v>
      </c>
      <c r="D644" s="26">
        <v>116541</v>
      </c>
      <c r="E644" s="25">
        <v>9</v>
      </c>
      <c r="F644" s="25">
        <v>2</v>
      </c>
      <c r="G644" s="25">
        <v>1</v>
      </c>
      <c r="H644" s="25" t="s">
        <v>65</v>
      </c>
    </row>
    <row r="645" spans="1:8" ht="15.75" x14ac:dyDescent="0.25">
      <c r="A645" s="25" t="s">
        <v>713</v>
      </c>
      <c r="B645" s="25">
        <v>38</v>
      </c>
      <c r="C645" s="25" t="s">
        <v>83</v>
      </c>
      <c r="D645" s="26">
        <v>69103</v>
      </c>
      <c r="E645" s="25">
        <v>8</v>
      </c>
      <c r="F645" s="25">
        <v>4</v>
      </c>
      <c r="G645" s="25">
        <v>0</v>
      </c>
      <c r="H645" s="25" t="s">
        <v>65</v>
      </c>
    </row>
    <row r="646" spans="1:8" ht="15.75" x14ac:dyDescent="0.25">
      <c r="A646" s="25" t="s">
        <v>714</v>
      </c>
      <c r="B646" s="25">
        <v>26</v>
      </c>
      <c r="C646" s="25" t="s">
        <v>64</v>
      </c>
      <c r="D646" s="26">
        <v>113750</v>
      </c>
      <c r="E646" s="25">
        <v>19</v>
      </c>
      <c r="F646" s="25">
        <v>4</v>
      </c>
      <c r="G646" s="25">
        <v>1</v>
      </c>
      <c r="H646" s="25" t="s">
        <v>65</v>
      </c>
    </row>
    <row r="647" spans="1:8" ht="15.75" x14ac:dyDescent="0.25">
      <c r="A647" s="25" t="s">
        <v>715</v>
      </c>
      <c r="B647" s="25">
        <v>48</v>
      </c>
      <c r="C647" s="25" t="s">
        <v>67</v>
      </c>
      <c r="D647" s="26">
        <v>90085</v>
      </c>
      <c r="E647" s="25">
        <v>4</v>
      </c>
      <c r="F647" s="25">
        <v>1</v>
      </c>
      <c r="G647" s="25">
        <v>0</v>
      </c>
      <c r="H647" s="25" t="s">
        <v>68</v>
      </c>
    </row>
    <row r="648" spans="1:8" ht="15.75" x14ac:dyDescent="0.25">
      <c r="A648" s="25" t="s">
        <v>716</v>
      </c>
      <c r="B648" s="25">
        <v>59</v>
      </c>
      <c r="C648" s="25" t="s">
        <v>67</v>
      </c>
      <c r="D648" s="26">
        <v>118705</v>
      </c>
      <c r="E648" s="25">
        <v>2</v>
      </c>
      <c r="F648" s="25">
        <v>1</v>
      </c>
      <c r="G648" s="25">
        <v>1</v>
      </c>
      <c r="H648" s="25" t="s">
        <v>68</v>
      </c>
    </row>
    <row r="649" spans="1:8" ht="15.75" x14ac:dyDescent="0.25">
      <c r="A649" s="25" t="s">
        <v>717</v>
      </c>
      <c r="B649" s="25">
        <v>54</v>
      </c>
      <c r="C649" s="25" t="s">
        <v>67</v>
      </c>
      <c r="D649" s="26">
        <v>86543</v>
      </c>
      <c r="E649" s="25">
        <v>4</v>
      </c>
      <c r="F649" s="25">
        <v>1</v>
      </c>
      <c r="G649" s="25">
        <v>1</v>
      </c>
      <c r="H649" s="25" t="s">
        <v>65</v>
      </c>
    </row>
    <row r="650" spans="1:8" ht="15.75" x14ac:dyDescent="0.25">
      <c r="A650" s="25" t="s">
        <v>718</v>
      </c>
      <c r="B650" s="25">
        <v>49</v>
      </c>
      <c r="C650" s="25" t="s">
        <v>78</v>
      </c>
      <c r="D650" s="26">
        <v>46938</v>
      </c>
      <c r="E650" s="25">
        <v>7</v>
      </c>
      <c r="F650" s="25">
        <v>4</v>
      </c>
      <c r="G650" s="25">
        <v>0</v>
      </c>
      <c r="H650" s="25" t="s">
        <v>68</v>
      </c>
    </row>
    <row r="651" spans="1:8" ht="15.75" x14ac:dyDescent="0.25">
      <c r="A651" s="25" t="s">
        <v>719</v>
      </c>
      <c r="B651" s="25">
        <v>24</v>
      </c>
      <c r="C651" s="25" t="s">
        <v>83</v>
      </c>
      <c r="D651" s="26">
        <v>107492</v>
      </c>
      <c r="E651" s="25">
        <v>7</v>
      </c>
      <c r="F651" s="25">
        <v>4</v>
      </c>
      <c r="G651" s="25">
        <v>0</v>
      </c>
      <c r="H651" s="25" t="s">
        <v>65</v>
      </c>
    </row>
    <row r="652" spans="1:8" ht="15.75" x14ac:dyDescent="0.25">
      <c r="A652" s="25" t="s">
        <v>720</v>
      </c>
      <c r="B652" s="25">
        <v>34</v>
      </c>
      <c r="C652" s="25" t="s">
        <v>64</v>
      </c>
      <c r="D652" s="26">
        <v>81586</v>
      </c>
      <c r="E652" s="25">
        <v>13</v>
      </c>
      <c r="F652" s="25">
        <v>3</v>
      </c>
      <c r="G652" s="25">
        <v>1</v>
      </c>
      <c r="H652" s="25" t="s">
        <v>65</v>
      </c>
    </row>
    <row r="653" spans="1:8" ht="15.75" x14ac:dyDescent="0.25">
      <c r="A653" s="25" t="s">
        <v>721</v>
      </c>
      <c r="B653" s="25">
        <v>25</v>
      </c>
      <c r="C653" s="25" t="s">
        <v>83</v>
      </c>
      <c r="D653" s="26">
        <v>88024</v>
      </c>
      <c r="E653" s="25">
        <v>16</v>
      </c>
      <c r="F653" s="25">
        <v>1</v>
      </c>
      <c r="G653" s="25">
        <v>0</v>
      </c>
      <c r="H653" s="25" t="s">
        <v>65</v>
      </c>
    </row>
    <row r="654" spans="1:8" ht="15.75" x14ac:dyDescent="0.25">
      <c r="A654" s="25" t="s">
        <v>722</v>
      </c>
      <c r="B654" s="25">
        <v>45</v>
      </c>
      <c r="C654" s="25" t="s">
        <v>67</v>
      </c>
      <c r="D654" s="26">
        <v>69687</v>
      </c>
      <c r="E654" s="25">
        <v>10</v>
      </c>
      <c r="F654" s="25">
        <v>2</v>
      </c>
      <c r="G654" s="25">
        <v>0</v>
      </c>
      <c r="H654" s="25" t="s">
        <v>65</v>
      </c>
    </row>
    <row r="655" spans="1:8" ht="15.75" x14ac:dyDescent="0.25">
      <c r="A655" s="25" t="s">
        <v>723</v>
      </c>
      <c r="B655" s="25">
        <v>59</v>
      </c>
      <c r="C655" s="25" t="s">
        <v>83</v>
      </c>
      <c r="D655" s="26">
        <v>101129</v>
      </c>
      <c r="E655" s="25">
        <v>15</v>
      </c>
      <c r="F655" s="25">
        <v>4</v>
      </c>
      <c r="G655" s="25">
        <v>0</v>
      </c>
      <c r="H655" s="25" t="s">
        <v>68</v>
      </c>
    </row>
    <row r="656" spans="1:8" ht="15.75" x14ac:dyDescent="0.25">
      <c r="A656" s="25" t="s">
        <v>724</v>
      </c>
      <c r="B656" s="25">
        <v>28</v>
      </c>
      <c r="C656" s="25" t="s">
        <v>78</v>
      </c>
      <c r="D656" s="26">
        <v>56207</v>
      </c>
      <c r="E656" s="25">
        <v>5</v>
      </c>
      <c r="F656" s="25">
        <v>1</v>
      </c>
      <c r="G656" s="25">
        <v>0</v>
      </c>
      <c r="H656" s="25" t="s">
        <v>65</v>
      </c>
    </row>
    <row r="657" spans="1:8" ht="15.75" x14ac:dyDescent="0.25">
      <c r="A657" s="25" t="s">
        <v>725</v>
      </c>
      <c r="B657" s="25">
        <v>35</v>
      </c>
      <c r="C657" s="25" t="s">
        <v>70</v>
      </c>
      <c r="D657" s="26">
        <v>79354</v>
      </c>
      <c r="E657" s="25">
        <v>10</v>
      </c>
      <c r="F657" s="25">
        <v>3</v>
      </c>
      <c r="G657" s="25">
        <v>0</v>
      </c>
      <c r="H657" s="25" t="s">
        <v>65</v>
      </c>
    </row>
    <row r="658" spans="1:8" ht="15.75" x14ac:dyDescent="0.25">
      <c r="A658" s="25" t="s">
        <v>726</v>
      </c>
      <c r="B658" s="25">
        <v>39</v>
      </c>
      <c r="C658" s="25" t="s">
        <v>70</v>
      </c>
      <c r="D658" s="26">
        <v>67310</v>
      </c>
      <c r="E658" s="25">
        <v>9</v>
      </c>
      <c r="F658" s="25">
        <v>1</v>
      </c>
      <c r="G658" s="25">
        <v>0</v>
      </c>
      <c r="H658" s="25" t="s">
        <v>65</v>
      </c>
    </row>
    <row r="659" spans="1:8" ht="15.75" x14ac:dyDescent="0.25">
      <c r="A659" s="25" t="s">
        <v>727</v>
      </c>
      <c r="B659" s="25">
        <v>31</v>
      </c>
      <c r="C659" s="25" t="s">
        <v>64</v>
      </c>
      <c r="D659" s="26">
        <v>78960</v>
      </c>
      <c r="E659" s="25">
        <v>8</v>
      </c>
      <c r="F659" s="25">
        <v>3</v>
      </c>
      <c r="G659" s="25">
        <v>0</v>
      </c>
      <c r="H659" s="25" t="s">
        <v>65</v>
      </c>
    </row>
    <row r="660" spans="1:8" ht="15.75" x14ac:dyDescent="0.25">
      <c r="A660" s="25" t="s">
        <v>728</v>
      </c>
      <c r="B660" s="25">
        <v>40</v>
      </c>
      <c r="C660" s="25" t="s">
        <v>64</v>
      </c>
      <c r="D660" s="26">
        <v>91262</v>
      </c>
      <c r="E660" s="25">
        <v>14</v>
      </c>
      <c r="F660" s="25">
        <v>3</v>
      </c>
      <c r="G660" s="25">
        <v>1</v>
      </c>
      <c r="H660" s="25" t="s">
        <v>65</v>
      </c>
    </row>
    <row r="661" spans="1:8" ht="15.75" x14ac:dyDescent="0.25">
      <c r="A661" s="25" t="s">
        <v>729</v>
      </c>
      <c r="B661" s="25">
        <v>56</v>
      </c>
      <c r="C661" s="25" t="s">
        <v>83</v>
      </c>
      <c r="D661" s="26">
        <v>43403</v>
      </c>
      <c r="E661" s="25">
        <v>6</v>
      </c>
      <c r="F661" s="25">
        <v>4</v>
      </c>
      <c r="G661" s="25">
        <v>0</v>
      </c>
      <c r="H661" s="25" t="s">
        <v>65</v>
      </c>
    </row>
    <row r="662" spans="1:8" ht="15.75" x14ac:dyDescent="0.25">
      <c r="A662" s="25" t="s">
        <v>730</v>
      </c>
      <c r="B662" s="25">
        <v>38</v>
      </c>
      <c r="C662" s="25" t="s">
        <v>64</v>
      </c>
      <c r="D662" s="26">
        <v>43065</v>
      </c>
      <c r="E662" s="25">
        <v>17</v>
      </c>
      <c r="F662" s="25">
        <v>3</v>
      </c>
      <c r="G662" s="25">
        <v>0</v>
      </c>
      <c r="H662" s="25" t="s">
        <v>68</v>
      </c>
    </row>
    <row r="663" spans="1:8" ht="15.75" x14ac:dyDescent="0.25">
      <c r="A663" s="25" t="s">
        <v>731</v>
      </c>
      <c r="B663" s="25">
        <v>34</v>
      </c>
      <c r="C663" s="25" t="s">
        <v>78</v>
      </c>
      <c r="D663" s="26">
        <v>119930</v>
      </c>
      <c r="E663" s="25">
        <v>0</v>
      </c>
      <c r="F663" s="25">
        <v>3</v>
      </c>
      <c r="G663" s="25">
        <v>0</v>
      </c>
      <c r="H663" s="25" t="s">
        <v>68</v>
      </c>
    </row>
    <row r="664" spans="1:8" ht="15.75" x14ac:dyDescent="0.25">
      <c r="A664" s="25" t="s">
        <v>732</v>
      </c>
      <c r="B664" s="25">
        <v>58</v>
      </c>
      <c r="C664" s="25" t="s">
        <v>67</v>
      </c>
      <c r="D664" s="26">
        <v>56801</v>
      </c>
      <c r="E664" s="25">
        <v>14</v>
      </c>
      <c r="F664" s="25">
        <v>2</v>
      </c>
      <c r="G664" s="25">
        <v>0</v>
      </c>
      <c r="H664" s="25" t="s">
        <v>65</v>
      </c>
    </row>
    <row r="665" spans="1:8" ht="15.75" x14ac:dyDescent="0.25">
      <c r="A665" s="25" t="s">
        <v>733</v>
      </c>
      <c r="B665" s="25">
        <v>45</v>
      </c>
      <c r="C665" s="25" t="s">
        <v>67</v>
      </c>
      <c r="D665" s="26">
        <v>59230</v>
      </c>
      <c r="E665" s="25">
        <v>1</v>
      </c>
      <c r="F665" s="25">
        <v>3</v>
      </c>
      <c r="G665" s="25">
        <v>0</v>
      </c>
      <c r="H665" s="25" t="s">
        <v>65</v>
      </c>
    </row>
    <row r="666" spans="1:8" ht="15.75" x14ac:dyDescent="0.25">
      <c r="A666" s="25" t="s">
        <v>734</v>
      </c>
      <c r="B666" s="25">
        <v>36</v>
      </c>
      <c r="C666" s="25" t="s">
        <v>83</v>
      </c>
      <c r="D666" s="26">
        <v>102706</v>
      </c>
      <c r="E666" s="25">
        <v>1</v>
      </c>
      <c r="F666" s="25">
        <v>2</v>
      </c>
      <c r="G666" s="25">
        <v>1</v>
      </c>
      <c r="H666" s="25" t="s">
        <v>65</v>
      </c>
    </row>
    <row r="667" spans="1:8" ht="15.75" x14ac:dyDescent="0.25">
      <c r="A667" s="25" t="s">
        <v>735</v>
      </c>
      <c r="B667" s="25">
        <v>38</v>
      </c>
      <c r="C667" s="25" t="s">
        <v>67</v>
      </c>
      <c r="D667" s="26">
        <v>113942</v>
      </c>
      <c r="E667" s="25">
        <v>9</v>
      </c>
      <c r="F667" s="25">
        <v>2</v>
      </c>
      <c r="G667" s="25">
        <v>0</v>
      </c>
      <c r="H667" s="25" t="s">
        <v>65</v>
      </c>
    </row>
    <row r="668" spans="1:8" ht="15.75" x14ac:dyDescent="0.25">
      <c r="A668" s="25" t="s">
        <v>736</v>
      </c>
      <c r="B668" s="25">
        <v>21</v>
      </c>
      <c r="C668" s="25" t="s">
        <v>83</v>
      </c>
      <c r="D668" s="26">
        <v>59968</v>
      </c>
      <c r="E668" s="25">
        <v>19</v>
      </c>
      <c r="F668" s="25">
        <v>1</v>
      </c>
      <c r="G668" s="25">
        <v>0</v>
      </c>
      <c r="H668" s="25" t="s">
        <v>65</v>
      </c>
    </row>
    <row r="669" spans="1:8" ht="15.75" x14ac:dyDescent="0.25">
      <c r="A669" s="25" t="s">
        <v>737</v>
      </c>
      <c r="B669" s="25">
        <v>21</v>
      </c>
      <c r="C669" s="25" t="s">
        <v>64</v>
      </c>
      <c r="D669" s="26">
        <v>72517</v>
      </c>
      <c r="E669" s="25">
        <v>14</v>
      </c>
      <c r="F669" s="25">
        <v>1</v>
      </c>
      <c r="G669" s="25">
        <v>1</v>
      </c>
      <c r="H669" s="25" t="s">
        <v>68</v>
      </c>
    </row>
    <row r="670" spans="1:8" ht="15.75" x14ac:dyDescent="0.25">
      <c r="A670" s="25" t="s">
        <v>738</v>
      </c>
      <c r="B670" s="25">
        <v>21</v>
      </c>
      <c r="C670" s="25" t="s">
        <v>64</v>
      </c>
      <c r="D670" s="26">
        <v>83239</v>
      </c>
      <c r="E670" s="25">
        <v>9</v>
      </c>
      <c r="F670" s="25">
        <v>4</v>
      </c>
      <c r="G670" s="25">
        <v>0</v>
      </c>
      <c r="H670" s="25" t="s">
        <v>65</v>
      </c>
    </row>
    <row r="671" spans="1:8" ht="15.75" x14ac:dyDescent="0.25">
      <c r="A671" s="25" t="s">
        <v>739</v>
      </c>
      <c r="B671" s="25">
        <v>41</v>
      </c>
      <c r="C671" s="25" t="s">
        <v>78</v>
      </c>
      <c r="D671" s="26">
        <v>62655</v>
      </c>
      <c r="E671" s="25">
        <v>18</v>
      </c>
      <c r="F671" s="25">
        <v>4</v>
      </c>
      <c r="G671" s="25">
        <v>0</v>
      </c>
      <c r="H671" s="25" t="s">
        <v>68</v>
      </c>
    </row>
    <row r="672" spans="1:8" ht="15.75" x14ac:dyDescent="0.25">
      <c r="A672" s="25" t="s">
        <v>740</v>
      </c>
      <c r="B672" s="25">
        <v>45</v>
      </c>
      <c r="C672" s="25" t="s">
        <v>67</v>
      </c>
      <c r="D672" s="26">
        <v>92771</v>
      </c>
      <c r="E672" s="25">
        <v>12</v>
      </c>
      <c r="F672" s="25">
        <v>4</v>
      </c>
      <c r="G672" s="25">
        <v>1</v>
      </c>
      <c r="H672" s="25" t="s">
        <v>65</v>
      </c>
    </row>
    <row r="673" spans="1:8" ht="15.75" x14ac:dyDescent="0.25">
      <c r="A673" s="25" t="s">
        <v>741</v>
      </c>
      <c r="B673" s="25">
        <v>47</v>
      </c>
      <c r="C673" s="25" t="s">
        <v>78</v>
      </c>
      <c r="D673" s="26">
        <v>75984</v>
      </c>
      <c r="E673" s="25">
        <v>10</v>
      </c>
      <c r="F673" s="25">
        <v>3</v>
      </c>
      <c r="G673" s="25">
        <v>0</v>
      </c>
      <c r="H673" s="25" t="s">
        <v>65</v>
      </c>
    </row>
    <row r="674" spans="1:8" ht="15.75" x14ac:dyDescent="0.25">
      <c r="A674" s="25" t="s">
        <v>742</v>
      </c>
      <c r="B674" s="25">
        <v>30</v>
      </c>
      <c r="C674" s="25" t="s">
        <v>70</v>
      </c>
      <c r="D674" s="26">
        <v>41049</v>
      </c>
      <c r="E674" s="25">
        <v>1</v>
      </c>
      <c r="F674" s="25">
        <v>1</v>
      </c>
      <c r="G674" s="25">
        <v>1</v>
      </c>
      <c r="H674" s="25" t="s">
        <v>65</v>
      </c>
    </row>
    <row r="675" spans="1:8" ht="15.75" x14ac:dyDescent="0.25">
      <c r="A675" s="25" t="s">
        <v>743</v>
      </c>
      <c r="B675" s="25">
        <v>32</v>
      </c>
      <c r="C675" s="25" t="s">
        <v>78</v>
      </c>
      <c r="D675" s="26">
        <v>102321</v>
      </c>
      <c r="E675" s="25">
        <v>12</v>
      </c>
      <c r="F675" s="25">
        <v>3</v>
      </c>
      <c r="G675" s="25">
        <v>0</v>
      </c>
      <c r="H675" s="25" t="s">
        <v>65</v>
      </c>
    </row>
    <row r="676" spans="1:8" ht="15.75" x14ac:dyDescent="0.25">
      <c r="A676" s="25" t="s">
        <v>744</v>
      </c>
      <c r="B676" s="25">
        <v>48</v>
      </c>
      <c r="C676" s="25" t="s">
        <v>83</v>
      </c>
      <c r="D676" s="26">
        <v>94813</v>
      </c>
      <c r="E676" s="25">
        <v>0</v>
      </c>
      <c r="F676" s="25">
        <v>1</v>
      </c>
      <c r="G676" s="25">
        <v>0</v>
      </c>
      <c r="H676" s="25" t="s">
        <v>68</v>
      </c>
    </row>
    <row r="677" spans="1:8" ht="15.75" x14ac:dyDescent="0.25">
      <c r="A677" s="25" t="s">
        <v>745</v>
      </c>
      <c r="B677" s="25">
        <v>52</v>
      </c>
      <c r="C677" s="25" t="s">
        <v>83</v>
      </c>
      <c r="D677" s="26">
        <v>34655</v>
      </c>
      <c r="E677" s="25">
        <v>4</v>
      </c>
      <c r="F677" s="25">
        <v>3</v>
      </c>
      <c r="G677" s="25">
        <v>1</v>
      </c>
      <c r="H677" s="25" t="s">
        <v>68</v>
      </c>
    </row>
    <row r="678" spans="1:8" ht="15.75" x14ac:dyDescent="0.25">
      <c r="A678" s="25" t="s">
        <v>746</v>
      </c>
      <c r="B678" s="25">
        <v>53</v>
      </c>
      <c r="C678" s="25" t="s">
        <v>78</v>
      </c>
      <c r="D678" s="26">
        <v>113994</v>
      </c>
      <c r="E678" s="25">
        <v>6</v>
      </c>
      <c r="F678" s="25">
        <v>4</v>
      </c>
      <c r="G678" s="25">
        <v>0</v>
      </c>
      <c r="H678" s="25" t="s">
        <v>65</v>
      </c>
    </row>
    <row r="679" spans="1:8" ht="15.75" x14ac:dyDescent="0.25">
      <c r="A679" s="25" t="s">
        <v>747</v>
      </c>
      <c r="B679" s="25">
        <v>28</v>
      </c>
      <c r="C679" s="25" t="s">
        <v>64</v>
      </c>
      <c r="D679" s="26">
        <v>102454</v>
      </c>
      <c r="E679" s="25">
        <v>12</v>
      </c>
      <c r="F679" s="25">
        <v>1</v>
      </c>
      <c r="G679" s="25">
        <v>0</v>
      </c>
      <c r="H679" s="25" t="s">
        <v>65</v>
      </c>
    </row>
    <row r="680" spans="1:8" ht="15.75" x14ac:dyDescent="0.25">
      <c r="A680" s="25" t="s">
        <v>748</v>
      </c>
      <c r="B680" s="25">
        <v>46</v>
      </c>
      <c r="C680" s="25" t="s">
        <v>70</v>
      </c>
      <c r="D680" s="26">
        <v>98972</v>
      </c>
      <c r="E680" s="25">
        <v>12</v>
      </c>
      <c r="F680" s="25">
        <v>1</v>
      </c>
      <c r="G680" s="25">
        <v>1</v>
      </c>
      <c r="H680" s="25" t="s">
        <v>65</v>
      </c>
    </row>
    <row r="681" spans="1:8" ht="15.75" x14ac:dyDescent="0.25">
      <c r="A681" s="25" t="s">
        <v>749</v>
      </c>
      <c r="B681" s="25">
        <v>22</v>
      </c>
      <c r="C681" s="25" t="s">
        <v>78</v>
      </c>
      <c r="D681" s="26">
        <v>51432</v>
      </c>
      <c r="E681" s="25">
        <v>19</v>
      </c>
      <c r="F681" s="25">
        <v>2</v>
      </c>
      <c r="G681" s="25">
        <v>0</v>
      </c>
      <c r="H681" s="25" t="s">
        <v>65</v>
      </c>
    </row>
    <row r="682" spans="1:8" ht="15.75" x14ac:dyDescent="0.25">
      <c r="A682" s="25" t="s">
        <v>750</v>
      </c>
      <c r="B682" s="25">
        <v>55</v>
      </c>
      <c r="C682" s="25" t="s">
        <v>64</v>
      </c>
      <c r="D682" s="26">
        <v>95896</v>
      </c>
      <c r="E682" s="25">
        <v>5</v>
      </c>
      <c r="F682" s="25">
        <v>1</v>
      </c>
      <c r="G682" s="25">
        <v>1</v>
      </c>
      <c r="H682" s="25" t="s">
        <v>65</v>
      </c>
    </row>
    <row r="683" spans="1:8" ht="15.75" x14ac:dyDescent="0.25">
      <c r="A683" s="25" t="s">
        <v>751</v>
      </c>
      <c r="B683" s="25">
        <v>54</v>
      </c>
      <c r="C683" s="25" t="s">
        <v>78</v>
      </c>
      <c r="D683" s="26">
        <v>100135</v>
      </c>
      <c r="E683" s="25">
        <v>19</v>
      </c>
      <c r="F683" s="25">
        <v>1</v>
      </c>
      <c r="G683" s="25">
        <v>1</v>
      </c>
      <c r="H683" s="25" t="s">
        <v>65</v>
      </c>
    </row>
    <row r="684" spans="1:8" ht="15.75" x14ac:dyDescent="0.25">
      <c r="A684" s="25" t="s">
        <v>752</v>
      </c>
      <c r="B684" s="25">
        <v>26</v>
      </c>
      <c r="C684" s="25" t="s">
        <v>67</v>
      </c>
      <c r="D684" s="26">
        <v>72936</v>
      </c>
      <c r="E684" s="25">
        <v>11</v>
      </c>
      <c r="F684" s="25">
        <v>3</v>
      </c>
      <c r="G684" s="25">
        <v>0</v>
      </c>
      <c r="H684" s="25" t="s">
        <v>65</v>
      </c>
    </row>
    <row r="685" spans="1:8" ht="15.75" x14ac:dyDescent="0.25">
      <c r="A685" s="25" t="s">
        <v>753</v>
      </c>
      <c r="B685" s="25">
        <v>51</v>
      </c>
      <c r="C685" s="25" t="s">
        <v>83</v>
      </c>
      <c r="D685" s="26">
        <v>43750</v>
      </c>
      <c r="E685" s="25">
        <v>7</v>
      </c>
      <c r="F685" s="25">
        <v>4</v>
      </c>
      <c r="G685" s="25">
        <v>0</v>
      </c>
      <c r="H685" s="25" t="s">
        <v>68</v>
      </c>
    </row>
    <row r="686" spans="1:8" ht="15.75" x14ac:dyDescent="0.25">
      <c r="A686" s="25" t="s">
        <v>754</v>
      </c>
      <c r="B686" s="25">
        <v>43</v>
      </c>
      <c r="C686" s="25" t="s">
        <v>67</v>
      </c>
      <c r="D686" s="26">
        <v>57987</v>
      </c>
      <c r="E686" s="25">
        <v>8</v>
      </c>
      <c r="F686" s="25">
        <v>2</v>
      </c>
      <c r="G686" s="25">
        <v>0</v>
      </c>
      <c r="H686" s="25" t="s">
        <v>65</v>
      </c>
    </row>
    <row r="687" spans="1:8" ht="15.75" x14ac:dyDescent="0.25">
      <c r="A687" s="25" t="s">
        <v>755</v>
      </c>
      <c r="B687" s="25">
        <v>32</v>
      </c>
      <c r="C687" s="25" t="s">
        <v>67</v>
      </c>
      <c r="D687" s="26">
        <v>56165</v>
      </c>
      <c r="E687" s="25">
        <v>17</v>
      </c>
      <c r="F687" s="25">
        <v>3</v>
      </c>
      <c r="G687" s="25">
        <v>1</v>
      </c>
      <c r="H687" s="25" t="s">
        <v>68</v>
      </c>
    </row>
    <row r="688" spans="1:8" ht="15.75" x14ac:dyDescent="0.25">
      <c r="A688" s="25" t="s">
        <v>756</v>
      </c>
      <c r="B688" s="25">
        <v>48</v>
      </c>
      <c r="C688" s="25" t="s">
        <v>70</v>
      </c>
      <c r="D688" s="26">
        <v>80541</v>
      </c>
      <c r="E688" s="25">
        <v>10</v>
      </c>
      <c r="F688" s="25">
        <v>1</v>
      </c>
      <c r="G688" s="25">
        <v>0</v>
      </c>
      <c r="H688" s="25" t="s">
        <v>65</v>
      </c>
    </row>
    <row r="689" spans="1:8" ht="15.75" x14ac:dyDescent="0.25">
      <c r="A689" s="25" t="s">
        <v>757</v>
      </c>
      <c r="B689" s="25">
        <v>35</v>
      </c>
      <c r="C689" s="25" t="s">
        <v>64</v>
      </c>
      <c r="D689" s="26">
        <v>54346</v>
      </c>
      <c r="E689" s="25">
        <v>19</v>
      </c>
      <c r="F689" s="25">
        <v>3</v>
      </c>
      <c r="G689" s="25">
        <v>0</v>
      </c>
      <c r="H689" s="25" t="s">
        <v>65</v>
      </c>
    </row>
    <row r="690" spans="1:8" ht="15.75" x14ac:dyDescent="0.25">
      <c r="A690" s="25" t="s">
        <v>758</v>
      </c>
      <c r="B690" s="25">
        <v>39</v>
      </c>
      <c r="C690" s="25" t="s">
        <v>83</v>
      </c>
      <c r="D690" s="26">
        <v>33514</v>
      </c>
      <c r="E690" s="25">
        <v>10</v>
      </c>
      <c r="F690" s="25">
        <v>4</v>
      </c>
      <c r="G690" s="25">
        <v>0</v>
      </c>
      <c r="H690" s="25" t="s">
        <v>65</v>
      </c>
    </row>
    <row r="691" spans="1:8" ht="15.75" x14ac:dyDescent="0.25">
      <c r="A691" s="25" t="s">
        <v>759</v>
      </c>
      <c r="B691" s="25">
        <v>32</v>
      </c>
      <c r="C691" s="25" t="s">
        <v>67</v>
      </c>
      <c r="D691" s="26">
        <v>54838</v>
      </c>
      <c r="E691" s="25">
        <v>14</v>
      </c>
      <c r="F691" s="25">
        <v>2</v>
      </c>
      <c r="G691" s="25">
        <v>0</v>
      </c>
      <c r="H691" s="25" t="s">
        <v>65</v>
      </c>
    </row>
    <row r="692" spans="1:8" ht="15.75" x14ac:dyDescent="0.25">
      <c r="A692" s="25" t="s">
        <v>760</v>
      </c>
      <c r="B692" s="25">
        <v>22</v>
      </c>
      <c r="C692" s="25" t="s">
        <v>83</v>
      </c>
      <c r="D692" s="26">
        <v>57559</v>
      </c>
      <c r="E692" s="25">
        <v>8</v>
      </c>
      <c r="F692" s="25">
        <v>3</v>
      </c>
      <c r="G692" s="25">
        <v>0</v>
      </c>
      <c r="H692" s="25" t="s">
        <v>68</v>
      </c>
    </row>
    <row r="693" spans="1:8" ht="15.75" x14ac:dyDescent="0.25">
      <c r="A693" s="25" t="s">
        <v>761</v>
      </c>
      <c r="B693" s="25">
        <v>31</v>
      </c>
      <c r="C693" s="25" t="s">
        <v>64</v>
      </c>
      <c r="D693" s="26">
        <v>89207</v>
      </c>
      <c r="E693" s="25">
        <v>2</v>
      </c>
      <c r="F693" s="25">
        <v>1</v>
      </c>
      <c r="G693" s="25">
        <v>1</v>
      </c>
      <c r="H693" s="25" t="s">
        <v>65</v>
      </c>
    </row>
    <row r="694" spans="1:8" ht="15.75" x14ac:dyDescent="0.25">
      <c r="A694" s="25" t="s">
        <v>762</v>
      </c>
      <c r="B694" s="25">
        <v>57</v>
      </c>
      <c r="C694" s="25" t="s">
        <v>78</v>
      </c>
      <c r="D694" s="26">
        <v>46385</v>
      </c>
      <c r="E694" s="25">
        <v>16</v>
      </c>
      <c r="F694" s="25">
        <v>3</v>
      </c>
      <c r="G694" s="25">
        <v>0</v>
      </c>
      <c r="H694" s="25" t="s">
        <v>65</v>
      </c>
    </row>
    <row r="695" spans="1:8" ht="15.75" x14ac:dyDescent="0.25">
      <c r="A695" s="25" t="s">
        <v>763</v>
      </c>
      <c r="B695" s="25">
        <v>58</v>
      </c>
      <c r="C695" s="25" t="s">
        <v>67</v>
      </c>
      <c r="D695" s="26">
        <v>48317</v>
      </c>
      <c r="E695" s="25">
        <v>16</v>
      </c>
      <c r="F695" s="25">
        <v>1</v>
      </c>
      <c r="G695" s="25">
        <v>0</v>
      </c>
      <c r="H695" s="25" t="s">
        <v>65</v>
      </c>
    </row>
    <row r="696" spans="1:8" ht="15.75" x14ac:dyDescent="0.25">
      <c r="A696" s="25" t="s">
        <v>764</v>
      </c>
      <c r="B696" s="25">
        <v>45</v>
      </c>
      <c r="C696" s="25" t="s">
        <v>64</v>
      </c>
      <c r="D696" s="26">
        <v>30393</v>
      </c>
      <c r="E696" s="25">
        <v>2</v>
      </c>
      <c r="F696" s="25">
        <v>2</v>
      </c>
      <c r="G696" s="25">
        <v>1</v>
      </c>
      <c r="H696" s="25" t="s">
        <v>65</v>
      </c>
    </row>
    <row r="697" spans="1:8" ht="15.75" x14ac:dyDescent="0.25">
      <c r="A697" s="25" t="s">
        <v>765</v>
      </c>
      <c r="B697" s="25">
        <v>41</v>
      </c>
      <c r="C697" s="25" t="s">
        <v>83</v>
      </c>
      <c r="D697" s="26">
        <v>54881</v>
      </c>
      <c r="E697" s="25">
        <v>18</v>
      </c>
      <c r="F697" s="25">
        <v>2</v>
      </c>
      <c r="G697" s="25">
        <v>0</v>
      </c>
      <c r="H697" s="25" t="s">
        <v>68</v>
      </c>
    </row>
    <row r="698" spans="1:8" ht="15.75" x14ac:dyDescent="0.25">
      <c r="A698" s="25" t="s">
        <v>766</v>
      </c>
      <c r="B698" s="25">
        <v>56</v>
      </c>
      <c r="C698" s="25" t="s">
        <v>64</v>
      </c>
      <c r="D698" s="26">
        <v>57955</v>
      </c>
      <c r="E698" s="25">
        <v>8</v>
      </c>
      <c r="F698" s="25">
        <v>3</v>
      </c>
      <c r="G698" s="25">
        <v>1</v>
      </c>
      <c r="H698" s="25" t="s">
        <v>65</v>
      </c>
    </row>
    <row r="699" spans="1:8" ht="15.75" x14ac:dyDescent="0.25">
      <c r="A699" s="25" t="s">
        <v>767</v>
      </c>
      <c r="B699" s="25">
        <v>29</v>
      </c>
      <c r="C699" s="25" t="s">
        <v>78</v>
      </c>
      <c r="D699" s="26">
        <v>88308</v>
      </c>
      <c r="E699" s="25">
        <v>16</v>
      </c>
      <c r="F699" s="25">
        <v>2</v>
      </c>
      <c r="G699" s="25">
        <v>0</v>
      </c>
      <c r="H699" s="25" t="s">
        <v>65</v>
      </c>
    </row>
    <row r="700" spans="1:8" ht="15.75" x14ac:dyDescent="0.25">
      <c r="A700" s="25" t="s">
        <v>768</v>
      </c>
      <c r="B700" s="25">
        <v>32</v>
      </c>
      <c r="C700" s="25" t="s">
        <v>64</v>
      </c>
      <c r="D700" s="26">
        <v>88014</v>
      </c>
      <c r="E700" s="25">
        <v>17</v>
      </c>
      <c r="F700" s="25">
        <v>4</v>
      </c>
      <c r="G700" s="25">
        <v>0</v>
      </c>
      <c r="H700" s="25" t="s">
        <v>65</v>
      </c>
    </row>
    <row r="701" spans="1:8" ht="15.75" x14ac:dyDescent="0.25">
      <c r="A701" s="25" t="s">
        <v>769</v>
      </c>
      <c r="B701" s="25">
        <v>30</v>
      </c>
      <c r="C701" s="25" t="s">
        <v>83</v>
      </c>
      <c r="D701" s="26">
        <v>95430</v>
      </c>
      <c r="E701" s="25">
        <v>14</v>
      </c>
      <c r="F701" s="25">
        <v>3</v>
      </c>
      <c r="G701" s="25">
        <v>1</v>
      </c>
      <c r="H701" s="25" t="s">
        <v>65</v>
      </c>
    </row>
    <row r="702" spans="1:8" ht="15.75" x14ac:dyDescent="0.25">
      <c r="A702" s="25" t="s">
        <v>770</v>
      </c>
      <c r="B702" s="25">
        <v>25</v>
      </c>
      <c r="C702" s="25" t="s">
        <v>67</v>
      </c>
      <c r="D702" s="26">
        <v>102031</v>
      </c>
      <c r="E702" s="25">
        <v>0</v>
      </c>
      <c r="F702" s="25">
        <v>1</v>
      </c>
      <c r="G702" s="25">
        <v>0</v>
      </c>
      <c r="H702" s="25" t="s">
        <v>65</v>
      </c>
    </row>
    <row r="703" spans="1:8" ht="15.75" x14ac:dyDescent="0.25">
      <c r="A703" s="25" t="s">
        <v>771</v>
      </c>
      <c r="B703" s="25">
        <v>53</v>
      </c>
      <c r="C703" s="25" t="s">
        <v>67</v>
      </c>
      <c r="D703" s="26">
        <v>116973</v>
      </c>
      <c r="E703" s="25">
        <v>9</v>
      </c>
      <c r="F703" s="25">
        <v>3</v>
      </c>
      <c r="G703" s="25">
        <v>0</v>
      </c>
      <c r="H703" s="25" t="s">
        <v>65</v>
      </c>
    </row>
    <row r="704" spans="1:8" ht="15.75" x14ac:dyDescent="0.25">
      <c r="A704" s="25" t="s">
        <v>772</v>
      </c>
      <c r="B704" s="25">
        <v>25</v>
      </c>
      <c r="C704" s="25" t="s">
        <v>70</v>
      </c>
      <c r="D704" s="26">
        <v>89596</v>
      </c>
      <c r="E704" s="25">
        <v>7</v>
      </c>
      <c r="F704" s="25">
        <v>1</v>
      </c>
      <c r="G704" s="25">
        <v>0</v>
      </c>
      <c r="H704" s="25" t="s">
        <v>65</v>
      </c>
    </row>
    <row r="705" spans="1:8" ht="15.75" x14ac:dyDescent="0.25">
      <c r="A705" s="25" t="s">
        <v>773</v>
      </c>
      <c r="B705" s="25">
        <v>36</v>
      </c>
      <c r="C705" s="25" t="s">
        <v>83</v>
      </c>
      <c r="D705" s="26">
        <v>31713</v>
      </c>
      <c r="E705" s="25">
        <v>9</v>
      </c>
      <c r="F705" s="25">
        <v>2</v>
      </c>
      <c r="G705" s="25">
        <v>1</v>
      </c>
      <c r="H705" s="25" t="s">
        <v>65</v>
      </c>
    </row>
    <row r="706" spans="1:8" ht="15.75" x14ac:dyDescent="0.25">
      <c r="A706" s="25" t="s">
        <v>774</v>
      </c>
      <c r="B706" s="25">
        <v>57</v>
      </c>
      <c r="C706" s="25" t="s">
        <v>70</v>
      </c>
      <c r="D706" s="26">
        <v>50428</v>
      </c>
      <c r="E706" s="25">
        <v>1</v>
      </c>
      <c r="F706" s="25">
        <v>1</v>
      </c>
      <c r="G706" s="25">
        <v>1</v>
      </c>
      <c r="H706" s="25" t="s">
        <v>65</v>
      </c>
    </row>
    <row r="707" spans="1:8" ht="15.75" x14ac:dyDescent="0.25">
      <c r="A707" s="25" t="s">
        <v>775</v>
      </c>
      <c r="B707" s="25">
        <v>57</v>
      </c>
      <c r="C707" s="25" t="s">
        <v>70</v>
      </c>
      <c r="D707" s="26">
        <v>92160</v>
      </c>
      <c r="E707" s="25">
        <v>18</v>
      </c>
      <c r="F707" s="25">
        <v>1</v>
      </c>
      <c r="G707" s="25">
        <v>0</v>
      </c>
      <c r="H707" s="25" t="s">
        <v>68</v>
      </c>
    </row>
    <row r="708" spans="1:8" ht="15.75" x14ac:dyDescent="0.25">
      <c r="A708" s="25" t="s">
        <v>776</v>
      </c>
      <c r="B708" s="25">
        <v>49</v>
      </c>
      <c r="C708" s="25" t="s">
        <v>78</v>
      </c>
      <c r="D708" s="26">
        <v>96171</v>
      </c>
      <c r="E708" s="25">
        <v>13</v>
      </c>
      <c r="F708" s="25">
        <v>1</v>
      </c>
      <c r="G708" s="25">
        <v>1</v>
      </c>
      <c r="H708" s="25" t="s">
        <v>65</v>
      </c>
    </row>
    <row r="709" spans="1:8" ht="15.75" x14ac:dyDescent="0.25">
      <c r="A709" s="25" t="s">
        <v>777</v>
      </c>
      <c r="B709" s="25">
        <v>38</v>
      </c>
      <c r="C709" s="25" t="s">
        <v>83</v>
      </c>
      <c r="D709" s="26">
        <v>110729</v>
      </c>
      <c r="E709" s="25">
        <v>7</v>
      </c>
      <c r="F709" s="25">
        <v>1</v>
      </c>
      <c r="G709" s="25">
        <v>0</v>
      </c>
      <c r="H709" s="25" t="s">
        <v>68</v>
      </c>
    </row>
    <row r="710" spans="1:8" ht="15.75" x14ac:dyDescent="0.25">
      <c r="A710" s="25" t="s">
        <v>778</v>
      </c>
      <c r="B710" s="25">
        <v>49</v>
      </c>
      <c r="C710" s="25" t="s">
        <v>67</v>
      </c>
      <c r="D710" s="26">
        <v>90843</v>
      </c>
      <c r="E710" s="25">
        <v>18</v>
      </c>
      <c r="F710" s="25">
        <v>4</v>
      </c>
      <c r="G710" s="25">
        <v>0</v>
      </c>
      <c r="H710" s="25" t="s">
        <v>65</v>
      </c>
    </row>
    <row r="711" spans="1:8" ht="15.75" x14ac:dyDescent="0.25">
      <c r="A711" s="25" t="s">
        <v>779</v>
      </c>
      <c r="B711" s="25">
        <v>26</v>
      </c>
      <c r="C711" s="25" t="s">
        <v>83</v>
      </c>
      <c r="D711" s="26">
        <v>53003</v>
      </c>
      <c r="E711" s="25">
        <v>0</v>
      </c>
      <c r="F711" s="25">
        <v>1</v>
      </c>
      <c r="G711" s="25">
        <v>1</v>
      </c>
      <c r="H711" s="25" t="s">
        <v>68</v>
      </c>
    </row>
    <row r="712" spans="1:8" ht="15.75" x14ac:dyDescent="0.25">
      <c r="A712" s="25" t="s">
        <v>780</v>
      </c>
      <c r="B712" s="25">
        <v>38</v>
      </c>
      <c r="C712" s="25" t="s">
        <v>78</v>
      </c>
      <c r="D712" s="26">
        <v>110169</v>
      </c>
      <c r="E712" s="25">
        <v>15</v>
      </c>
      <c r="F712" s="25">
        <v>3</v>
      </c>
      <c r="G712" s="25">
        <v>1</v>
      </c>
      <c r="H712" s="25" t="s">
        <v>65</v>
      </c>
    </row>
    <row r="713" spans="1:8" ht="15.75" x14ac:dyDescent="0.25">
      <c r="A713" s="25" t="s">
        <v>781</v>
      </c>
      <c r="B713" s="25">
        <v>52</v>
      </c>
      <c r="C713" s="25" t="s">
        <v>83</v>
      </c>
      <c r="D713" s="26">
        <v>72077</v>
      </c>
      <c r="E713" s="25">
        <v>14</v>
      </c>
      <c r="F713" s="25">
        <v>4</v>
      </c>
      <c r="G713" s="25">
        <v>0</v>
      </c>
      <c r="H713" s="25" t="s">
        <v>65</v>
      </c>
    </row>
    <row r="714" spans="1:8" ht="15.75" x14ac:dyDescent="0.25">
      <c r="A714" s="25" t="s">
        <v>782</v>
      </c>
      <c r="B714" s="25">
        <v>51</v>
      </c>
      <c r="C714" s="25" t="s">
        <v>83</v>
      </c>
      <c r="D714" s="26">
        <v>56730</v>
      </c>
      <c r="E714" s="25">
        <v>19</v>
      </c>
      <c r="F714" s="25">
        <v>1</v>
      </c>
      <c r="G714" s="25">
        <v>0</v>
      </c>
      <c r="H714" s="25" t="s">
        <v>68</v>
      </c>
    </row>
    <row r="715" spans="1:8" ht="15.75" x14ac:dyDescent="0.25">
      <c r="A715" s="25" t="s">
        <v>783</v>
      </c>
      <c r="B715" s="25">
        <v>31</v>
      </c>
      <c r="C715" s="25" t="s">
        <v>70</v>
      </c>
      <c r="D715" s="26">
        <v>102981</v>
      </c>
      <c r="E715" s="25">
        <v>4</v>
      </c>
      <c r="F715" s="25">
        <v>1</v>
      </c>
      <c r="G715" s="25">
        <v>0</v>
      </c>
      <c r="H715" s="25" t="s">
        <v>68</v>
      </c>
    </row>
    <row r="716" spans="1:8" ht="15.75" x14ac:dyDescent="0.25">
      <c r="A716" s="25" t="s">
        <v>784</v>
      </c>
      <c r="B716" s="25">
        <v>46</v>
      </c>
      <c r="C716" s="25" t="s">
        <v>83</v>
      </c>
      <c r="D716" s="26">
        <v>109817</v>
      </c>
      <c r="E716" s="25">
        <v>2</v>
      </c>
      <c r="F716" s="25">
        <v>1</v>
      </c>
      <c r="G716" s="25">
        <v>1</v>
      </c>
      <c r="H716" s="25" t="s">
        <v>65</v>
      </c>
    </row>
    <row r="717" spans="1:8" ht="15.75" x14ac:dyDescent="0.25">
      <c r="A717" s="25" t="s">
        <v>785</v>
      </c>
      <c r="B717" s="25">
        <v>48</v>
      </c>
      <c r="C717" s="25" t="s">
        <v>70</v>
      </c>
      <c r="D717" s="26">
        <v>102138</v>
      </c>
      <c r="E717" s="25">
        <v>16</v>
      </c>
      <c r="F717" s="25">
        <v>4</v>
      </c>
      <c r="G717" s="25">
        <v>1</v>
      </c>
      <c r="H717" s="25" t="s">
        <v>65</v>
      </c>
    </row>
    <row r="718" spans="1:8" ht="15.75" x14ac:dyDescent="0.25">
      <c r="A718" s="25" t="s">
        <v>786</v>
      </c>
      <c r="B718" s="25">
        <v>47</v>
      </c>
      <c r="C718" s="25" t="s">
        <v>70</v>
      </c>
      <c r="D718" s="26">
        <v>95573</v>
      </c>
      <c r="E718" s="25">
        <v>9</v>
      </c>
      <c r="F718" s="25">
        <v>1</v>
      </c>
      <c r="G718" s="25">
        <v>0</v>
      </c>
      <c r="H718" s="25" t="s">
        <v>68</v>
      </c>
    </row>
    <row r="719" spans="1:8" ht="15.75" x14ac:dyDescent="0.25">
      <c r="A719" s="25" t="s">
        <v>787</v>
      </c>
      <c r="B719" s="25">
        <v>39</v>
      </c>
      <c r="C719" s="25" t="s">
        <v>64</v>
      </c>
      <c r="D719" s="26">
        <v>58869</v>
      </c>
      <c r="E719" s="25">
        <v>4</v>
      </c>
      <c r="F719" s="25">
        <v>1</v>
      </c>
      <c r="G719" s="25">
        <v>1</v>
      </c>
      <c r="H719" s="25" t="s">
        <v>65</v>
      </c>
    </row>
    <row r="720" spans="1:8" ht="15.75" x14ac:dyDescent="0.25">
      <c r="A720" s="25" t="s">
        <v>788</v>
      </c>
      <c r="B720" s="25">
        <v>47</v>
      </c>
      <c r="C720" s="25" t="s">
        <v>78</v>
      </c>
      <c r="D720" s="26">
        <v>61076</v>
      </c>
      <c r="E720" s="25">
        <v>10</v>
      </c>
      <c r="F720" s="25">
        <v>1</v>
      </c>
      <c r="G720" s="25">
        <v>1</v>
      </c>
      <c r="H720" s="25" t="s">
        <v>65</v>
      </c>
    </row>
    <row r="721" spans="1:8" ht="15.75" x14ac:dyDescent="0.25">
      <c r="A721" s="25" t="s">
        <v>789</v>
      </c>
      <c r="B721" s="25">
        <v>40</v>
      </c>
      <c r="C721" s="25" t="s">
        <v>70</v>
      </c>
      <c r="D721" s="26">
        <v>116005</v>
      </c>
      <c r="E721" s="25">
        <v>5</v>
      </c>
      <c r="F721" s="25">
        <v>2</v>
      </c>
      <c r="G721" s="25">
        <v>1</v>
      </c>
      <c r="H721" s="25" t="s">
        <v>65</v>
      </c>
    </row>
    <row r="722" spans="1:8" ht="15.75" x14ac:dyDescent="0.25">
      <c r="A722" s="25" t="s">
        <v>790</v>
      </c>
      <c r="B722" s="25">
        <v>23</v>
      </c>
      <c r="C722" s="25" t="s">
        <v>83</v>
      </c>
      <c r="D722" s="26">
        <v>55094</v>
      </c>
      <c r="E722" s="25">
        <v>3</v>
      </c>
      <c r="F722" s="25">
        <v>3</v>
      </c>
      <c r="G722" s="25">
        <v>0</v>
      </c>
      <c r="H722" s="25" t="s">
        <v>65</v>
      </c>
    </row>
    <row r="723" spans="1:8" ht="15.75" x14ac:dyDescent="0.25">
      <c r="A723" s="25" t="s">
        <v>791</v>
      </c>
      <c r="B723" s="25">
        <v>36</v>
      </c>
      <c r="C723" s="25" t="s">
        <v>70</v>
      </c>
      <c r="D723" s="26">
        <v>56817</v>
      </c>
      <c r="E723" s="25">
        <v>6</v>
      </c>
      <c r="F723" s="25">
        <v>1</v>
      </c>
      <c r="G723" s="25">
        <v>0</v>
      </c>
      <c r="H723" s="25" t="s">
        <v>65</v>
      </c>
    </row>
    <row r="724" spans="1:8" ht="15.75" x14ac:dyDescent="0.25">
      <c r="A724" s="25" t="s">
        <v>792</v>
      </c>
      <c r="B724" s="25">
        <v>59</v>
      </c>
      <c r="C724" s="25" t="s">
        <v>70</v>
      </c>
      <c r="D724" s="26">
        <v>40555</v>
      </c>
      <c r="E724" s="25">
        <v>18</v>
      </c>
      <c r="F724" s="25">
        <v>3</v>
      </c>
      <c r="G724" s="25">
        <v>0</v>
      </c>
      <c r="H724" s="25" t="s">
        <v>65</v>
      </c>
    </row>
    <row r="725" spans="1:8" ht="15.75" x14ac:dyDescent="0.25">
      <c r="A725" s="25" t="s">
        <v>793</v>
      </c>
      <c r="B725" s="25">
        <v>49</v>
      </c>
      <c r="C725" s="25" t="s">
        <v>70</v>
      </c>
      <c r="D725" s="26">
        <v>100656</v>
      </c>
      <c r="E725" s="25">
        <v>6</v>
      </c>
      <c r="F725" s="25">
        <v>2</v>
      </c>
      <c r="G725" s="25">
        <v>0</v>
      </c>
      <c r="H725" s="25" t="s">
        <v>65</v>
      </c>
    </row>
    <row r="726" spans="1:8" ht="15.75" x14ac:dyDescent="0.25">
      <c r="A726" s="25" t="s">
        <v>794</v>
      </c>
      <c r="B726" s="25">
        <v>35</v>
      </c>
      <c r="C726" s="25" t="s">
        <v>67</v>
      </c>
      <c r="D726" s="26">
        <v>110214</v>
      </c>
      <c r="E726" s="25">
        <v>13</v>
      </c>
      <c r="F726" s="25">
        <v>2</v>
      </c>
      <c r="G726" s="25">
        <v>1</v>
      </c>
      <c r="H726" s="25" t="s">
        <v>68</v>
      </c>
    </row>
    <row r="727" spans="1:8" ht="15.75" x14ac:dyDescent="0.25">
      <c r="A727" s="25" t="s">
        <v>795</v>
      </c>
      <c r="B727" s="25">
        <v>50</v>
      </c>
      <c r="C727" s="25" t="s">
        <v>67</v>
      </c>
      <c r="D727" s="26">
        <v>80193</v>
      </c>
      <c r="E727" s="25">
        <v>16</v>
      </c>
      <c r="F727" s="25">
        <v>1</v>
      </c>
      <c r="G727" s="25">
        <v>1</v>
      </c>
      <c r="H727" s="25" t="s">
        <v>65</v>
      </c>
    </row>
    <row r="728" spans="1:8" ht="15.75" x14ac:dyDescent="0.25">
      <c r="A728" s="25" t="s">
        <v>796</v>
      </c>
      <c r="B728" s="25">
        <v>21</v>
      </c>
      <c r="C728" s="25" t="s">
        <v>67</v>
      </c>
      <c r="D728" s="26">
        <v>34715</v>
      </c>
      <c r="E728" s="25">
        <v>16</v>
      </c>
      <c r="F728" s="25">
        <v>3</v>
      </c>
      <c r="G728" s="25">
        <v>0</v>
      </c>
      <c r="H728" s="25" t="s">
        <v>68</v>
      </c>
    </row>
    <row r="729" spans="1:8" ht="15.75" x14ac:dyDescent="0.25">
      <c r="A729" s="25" t="s">
        <v>797</v>
      </c>
      <c r="B729" s="25">
        <v>49</v>
      </c>
      <c r="C729" s="25" t="s">
        <v>67</v>
      </c>
      <c r="D729" s="26">
        <v>64162</v>
      </c>
      <c r="E729" s="25">
        <v>12</v>
      </c>
      <c r="F729" s="25">
        <v>4</v>
      </c>
      <c r="G729" s="25">
        <v>1</v>
      </c>
      <c r="H729" s="25" t="s">
        <v>65</v>
      </c>
    </row>
    <row r="730" spans="1:8" ht="15.75" x14ac:dyDescent="0.25">
      <c r="A730" s="25" t="s">
        <v>798</v>
      </c>
      <c r="B730" s="25">
        <v>50</v>
      </c>
      <c r="C730" s="25" t="s">
        <v>64</v>
      </c>
      <c r="D730" s="26">
        <v>68458</v>
      </c>
      <c r="E730" s="25">
        <v>0</v>
      </c>
      <c r="F730" s="25">
        <v>1</v>
      </c>
      <c r="G730" s="25">
        <v>0</v>
      </c>
      <c r="H730" s="25" t="s">
        <v>65</v>
      </c>
    </row>
    <row r="731" spans="1:8" ht="15.75" x14ac:dyDescent="0.25">
      <c r="A731" s="25" t="s">
        <v>799</v>
      </c>
      <c r="B731" s="25">
        <v>52</v>
      </c>
      <c r="C731" s="25" t="s">
        <v>70</v>
      </c>
      <c r="D731" s="26">
        <v>33140</v>
      </c>
      <c r="E731" s="25">
        <v>1</v>
      </c>
      <c r="F731" s="25">
        <v>4</v>
      </c>
      <c r="G731" s="25">
        <v>0</v>
      </c>
      <c r="H731" s="25" t="s">
        <v>65</v>
      </c>
    </row>
    <row r="732" spans="1:8" ht="15.75" x14ac:dyDescent="0.25">
      <c r="A732" s="25" t="s">
        <v>800</v>
      </c>
      <c r="B732" s="25">
        <v>30</v>
      </c>
      <c r="C732" s="25" t="s">
        <v>64</v>
      </c>
      <c r="D732" s="26">
        <v>104174</v>
      </c>
      <c r="E732" s="25">
        <v>17</v>
      </c>
      <c r="F732" s="25">
        <v>2</v>
      </c>
      <c r="G732" s="25">
        <v>0</v>
      </c>
      <c r="H732" s="25" t="s">
        <v>65</v>
      </c>
    </row>
    <row r="733" spans="1:8" ht="15.75" x14ac:dyDescent="0.25">
      <c r="A733" s="25" t="s">
        <v>801</v>
      </c>
      <c r="B733" s="25">
        <v>47</v>
      </c>
      <c r="C733" s="25" t="s">
        <v>83</v>
      </c>
      <c r="D733" s="26">
        <v>47383</v>
      </c>
      <c r="E733" s="25">
        <v>3</v>
      </c>
      <c r="F733" s="25">
        <v>2</v>
      </c>
      <c r="G733" s="25">
        <v>0</v>
      </c>
      <c r="H733" s="25" t="s">
        <v>68</v>
      </c>
    </row>
    <row r="734" spans="1:8" ht="15.75" x14ac:dyDescent="0.25">
      <c r="A734" s="25" t="s">
        <v>802</v>
      </c>
      <c r="B734" s="25">
        <v>28</v>
      </c>
      <c r="C734" s="25" t="s">
        <v>78</v>
      </c>
      <c r="D734" s="26">
        <v>47718</v>
      </c>
      <c r="E734" s="25">
        <v>12</v>
      </c>
      <c r="F734" s="25">
        <v>3</v>
      </c>
      <c r="G734" s="25">
        <v>0</v>
      </c>
      <c r="H734" s="25" t="s">
        <v>65</v>
      </c>
    </row>
    <row r="735" spans="1:8" ht="15.75" x14ac:dyDescent="0.25">
      <c r="A735" s="25" t="s">
        <v>803</v>
      </c>
      <c r="B735" s="25">
        <v>56</v>
      </c>
      <c r="C735" s="25" t="s">
        <v>64</v>
      </c>
      <c r="D735" s="26">
        <v>106160</v>
      </c>
      <c r="E735" s="25">
        <v>0</v>
      </c>
      <c r="F735" s="25">
        <v>4</v>
      </c>
      <c r="G735" s="25">
        <v>0</v>
      </c>
      <c r="H735" s="25" t="s">
        <v>65</v>
      </c>
    </row>
    <row r="736" spans="1:8" ht="15.75" x14ac:dyDescent="0.25">
      <c r="A736" s="25" t="s">
        <v>804</v>
      </c>
      <c r="B736" s="25">
        <v>55</v>
      </c>
      <c r="C736" s="25" t="s">
        <v>67</v>
      </c>
      <c r="D736" s="26">
        <v>87399</v>
      </c>
      <c r="E736" s="25">
        <v>3</v>
      </c>
      <c r="F736" s="25">
        <v>4</v>
      </c>
      <c r="G736" s="25">
        <v>1</v>
      </c>
      <c r="H736" s="25" t="s">
        <v>65</v>
      </c>
    </row>
    <row r="737" spans="1:8" ht="15.75" x14ac:dyDescent="0.25">
      <c r="A737" s="25" t="s">
        <v>805</v>
      </c>
      <c r="B737" s="25">
        <v>56</v>
      </c>
      <c r="C737" s="25" t="s">
        <v>67</v>
      </c>
      <c r="D737" s="26">
        <v>117008</v>
      </c>
      <c r="E737" s="25">
        <v>1</v>
      </c>
      <c r="F737" s="25">
        <v>1</v>
      </c>
      <c r="G737" s="25">
        <v>0</v>
      </c>
      <c r="H737" s="25" t="s">
        <v>65</v>
      </c>
    </row>
    <row r="738" spans="1:8" ht="15.75" x14ac:dyDescent="0.25">
      <c r="A738" s="25" t="s">
        <v>806</v>
      </c>
      <c r="B738" s="25">
        <v>56</v>
      </c>
      <c r="C738" s="25" t="s">
        <v>83</v>
      </c>
      <c r="D738" s="26">
        <v>51863</v>
      </c>
      <c r="E738" s="25">
        <v>3</v>
      </c>
      <c r="F738" s="25">
        <v>3</v>
      </c>
      <c r="G738" s="25">
        <v>0</v>
      </c>
      <c r="H738" s="25" t="s">
        <v>65</v>
      </c>
    </row>
    <row r="739" spans="1:8" ht="15.75" x14ac:dyDescent="0.25">
      <c r="A739" s="25" t="s">
        <v>807</v>
      </c>
      <c r="B739" s="25">
        <v>45</v>
      </c>
      <c r="C739" s="25" t="s">
        <v>70</v>
      </c>
      <c r="D739" s="26">
        <v>101626</v>
      </c>
      <c r="E739" s="25">
        <v>15</v>
      </c>
      <c r="F739" s="25">
        <v>3</v>
      </c>
      <c r="G739" s="25">
        <v>0</v>
      </c>
      <c r="H739" s="25" t="s">
        <v>65</v>
      </c>
    </row>
    <row r="740" spans="1:8" ht="15.75" x14ac:dyDescent="0.25">
      <c r="A740" s="25" t="s">
        <v>808</v>
      </c>
      <c r="B740" s="25">
        <v>40</v>
      </c>
      <c r="C740" s="25" t="s">
        <v>78</v>
      </c>
      <c r="D740" s="26">
        <v>41377</v>
      </c>
      <c r="E740" s="25">
        <v>3</v>
      </c>
      <c r="F740" s="25">
        <v>4</v>
      </c>
      <c r="G740" s="25">
        <v>1</v>
      </c>
      <c r="H740" s="25" t="s">
        <v>68</v>
      </c>
    </row>
    <row r="741" spans="1:8" ht="15.75" x14ac:dyDescent="0.25">
      <c r="A741" s="25" t="s">
        <v>809</v>
      </c>
      <c r="B741" s="25">
        <v>37</v>
      </c>
      <c r="C741" s="25" t="s">
        <v>64</v>
      </c>
      <c r="D741" s="26">
        <v>113031</v>
      </c>
      <c r="E741" s="25">
        <v>8</v>
      </c>
      <c r="F741" s="25">
        <v>2</v>
      </c>
      <c r="G741" s="25">
        <v>0</v>
      </c>
      <c r="H741" s="25" t="s">
        <v>65</v>
      </c>
    </row>
    <row r="742" spans="1:8" ht="15.75" x14ac:dyDescent="0.25">
      <c r="A742" s="25" t="s">
        <v>810</v>
      </c>
      <c r="B742" s="25">
        <v>43</v>
      </c>
      <c r="C742" s="25" t="s">
        <v>70</v>
      </c>
      <c r="D742" s="26">
        <v>90523</v>
      </c>
      <c r="E742" s="25">
        <v>16</v>
      </c>
      <c r="F742" s="25">
        <v>3</v>
      </c>
      <c r="G742" s="25">
        <v>1</v>
      </c>
      <c r="H742" s="25" t="s">
        <v>65</v>
      </c>
    </row>
    <row r="743" spans="1:8" ht="15.75" x14ac:dyDescent="0.25">
      <c r="A743" s="25" t="s">
        <v>811</v>
      </c>
      <c r="B743" s="25">
        <v>45</v>
      </c>
      <c r="C743" s="25" t="s">
        <v>70</v>
      </c>
      <c r="D743" s="26">
        <v>44870</v>
      </c>
      <c r="E743" s="25">
        <v>19</v>
      </c>
      <c r="F743" s="25">
        <v>2</v>
      </c>
      <c r="G743" s="25">
        <v>0</v>
      </c>
      <c r="H743" s="25" t="s">
        <v>65</v>
      </c>
    </row>
    <row r="744" spans="1:8" ht="15.75" x14ac:dyDescent="0.25">
      <c r="A744" s="25" t="s">
        <v>812</v>
      </c>
      <c r="B744" s="25">
        <v>51</v>
      </c>
      <c r="C744" s="25" t="s">
        <v>64</v>
      </c>
      <c r="D744" s="26">
        <v>87487</v>
      </c>
      <c r="E744" s="25">
        <v>1</v>
      </c>
      <c r="F744" s="25">
        <v>1</v>
      </c>
      <c r="G744" s="25">
        <v>0</v>
      </c>
      <c r="H744" s="25" t="s">
        <v>65</v>
      </c>
    </row>
    <row r="745" spans="1:8" ht="15.75" x14ac:dyDescent="0.25">
      <c r="A745" s="25" t="s">
        <v>813</v>
      </c>
      <c r="B745" s="25">
        <v>26</v>
      </c>
      <c r="C745" s="25" t="s">
        <v>64</v>
      </c>
      <c r="D745" s="26">
        <v>49300</v>
      </c>
      <c r="E745" s="25">
        <v>2</v>
      </c>
      <c r="F745" s="25">
        <v>3</v>
      </c>
      <c r="G745" s="25">
        <v>1</v>
      </c>
      <c r="H745" s="25" t="s">
        <v>68</v>
      </c>
    </row>
    <row r="746" spans="1:8" ht="15.75" x14ac:dyDescent="0.25">
      <c r="A746" s="25" t="s">
        <v>814</v>
      </c>
      <c r="B746" s="25">
        <v>55</v>
      </c>
      <c r="C746" s="25" t="s">
        <v>64</v>
      </c>
      <c r="D746" s="26">
        <v>85951</v>
      </c>
      <c r="E746" s="25">
        <v>14</v>
      </c>
      <c r="F746" s="25">
        <v>3</v>
      </c>
      <c r="G746" s="25">
        <v>0</v>
      </c>
      <c r="H746" s="25" t="s">
        <v>65</v>
      </c>
    </row>
    <row r="747" spans="1:8" ht="15.75" x14ac:dyDescent="0.25">
      <c r="A747" s="25" t="s">
        <v>815</v>
      </c>
      <c r="B747" s="25">
        <v>24</v>
      </c>
      <c r="C747" s="25" t="s">
        <v>64</v>
      </c>
      <c r="D747" s="26">
        <v>97639</v>
      </c>
      <c r="E747" s="25">
        <v>6</v>
      </c>
      <c r="F747" s="25">
        <v>1</v>
      </c>
      <c r="G747" s="25">
        <v>0</v>
      </c>
      <c r="H747" s="25" t="s">
        <v>65</v>
      </c>
    </row>
    <row r="748" spans="1:8" ht="15.75" x14ac:dyDescent="0.25">
      <c r="A748" s="25" t="s">
        <v>816</v>
      </c>
      <c r="B748" s="25">
        <v>40</v>
      </c>
      <c r="C748" s="25" t="s">
        <v>67</v>
      </c>
      <c r="D748" s="26">
        <v>102126</v>
      </c>
      <c r="E748" s="25">
        <v>3</v>
      </c>
      <c r="F748" s="25">
        <v>3</v>
      </c>
      <c r="G748" s="25">
        <v>0</v>
      </c>
      <c r="H748" s="25" t="s">
        <v>68</v>
      </c>
    </row>
    <row r="749" spans="1:8" ht="15.75" x14ac:dyDescent="0.25">
      <c r="A749" s="25" t="s">
        <v>817</v>
      </c>
      <c r="B749" s="25">
        <v>21</v>
      </c>
      <c r="C749" s="25" t="s">
        <v>70</v>
      </c>
      <c r="D749" s="26">
        <v>72980</v>
      </c>
      <c r="E749" s="25">
        <v>11</v>
      </c>
      <c r="F749" s="25">
        <v>4</v>
      </c>
      <c r="G749" s="25">
        <v>0</v>
      </c>
      <c r="H749" s="25" t="s">
        <v>65</v>
      </c>
    </row>
    <row r="750" spans="1:8" ht="15.75" x14ac:dyDescent="0.25">
      <c r="A750" s="25" t="s">
        <v>818</v>
      </c>
      <c r="B750" s="25">
        <v>46</v>
      </c>
      <c r="C750" s="25" t="s">
        <v>70</v>
      </c>
      <c r="D750" s="26">
        <v>62050</v>
      </c>
      <c r="E750" s="25">
        <v>0</v>
      </c>
      <c r="F750" s="25">
        <v>4</v>
      </c>
      <c r="G750" s="25">
        <v>1</v>
      </c>
      <c r="H750" s="25" t="s">
        <v>65</v>
      </c>
    </row>
    <row r="751" spans="1:8" ht="15.75" x14ac:dyDescent="0.25">
      <c r="A751" s="25" t="s">
        <v>819</v>
      </c>
      <c r="B751" s="25">
        <v>54</v>
      </c>
      <c r="C751" s="25" t="s">
        <v>67</v>
      </c>
      <c r="D751" s="26">
        <v>32921</v>
      </c>
      <c r="E751" s="25">
        <v>16</v>
      </c>
      <c r="F751" s="25">
        <v>1</v>
      </c>
      <c r="G751" s="25">
        <v>0</v>
      </c>
      <c r="H751" s="25" t="s">
        <v>65</v>
      </c>
    </row>
    <row r="752" spans="1:8" ht="15.75" x14ac:dyDescent="0.25">
      <c r="A752" s="25" t="s">
        <v>820</v>
      </c>
      <c r="B752" s="25">
        <v>30</v>
      </c>
      <c r="C752" s="25" t="s">
        <v>70</v>
      </c>
      <c r="D752" s="26">
        <v>100270</v>
      </c>
      <c r="E752" s="25">
        <v>3</v>
      </c>
      <c r="F752" s="25">
        <v>2</v>
      </c>
      <c r="G752" s="25">
        <v>0</v>
      </c>
      <c r="H752" s="25" t="s">
        <v>65</v>
      </c>
    </row>
    <row r="753" spans="1:8" ht="15.75" x14ac:dyDescent="0.25">
      <c r="A753" s="25" t="s">
        <v>821</v>
      </c>
      <c r="B753" s="25">
        <v>43</v>
      </c>
      <c r="C753" s="25" t="s">
        <v>64</v>
      </c>
      <c r="D753" s="26">
        <v>115293</v>
      </c>
      <c r="E753" s="25">
        <v>3</v>
      </c>
      <c r="F753" s="25">
        <v>2</v>
      </c>
      <c r="G753" s="25">
        <v>0</v>
      </c>
      <c r="H753" s="25" t="s">
        <v>65</v>
      </c>
    </row>
    <row r="754" spans="1:8" ht="15.75" x14ac:dyDescent="0.25">
      <c r="A754" s="25" t="s">
        <v>822</v>
      </c>
      <c r="B754" s="25">
        <v>44</v>
      </c>
      <c r="C754" s="25" t="s">
        <v>78</v>
      </c>
      <c r="D754" s="26">
        <v>60328</v>
      </c>
      <c r="E754" s="25">
        <v>8</v>
      </c>
      <c r="F754" s="25">
        <v>3</v>
      </c>
      <c r="G754" s="25">
        <v>0</v>
      </c>
      <c r="H754" s="25" t="s">
        <v>65</v>
      </c>
    </row>
    <row r="755" spans="1:8" ht="15.75" x14ac:dyDescent="0.25">
      <c r="A755" s="25" t="s">
        <v>823</v>
      </c>
      <c r="B755" s="25">
        <v>33</v>
      </c>
      <c r="C755" s="25" t="s">
        <v>70</v>
      </c>
      <c r="D755" s="26">
        <v>90820</v>
      </c>
      <c r="E755" s="25">
        <v>9</v>
      </c>
      <c r="F755" s="25">
        <v>2</v>
      </c>
      <c r="G755" s="25">
        <v>0</v>
      </c>
      <c r="H755" s="25" t="s">
        <v>65</v>
      </c>
    </row>
    <row r="756" spans="1:8" ht="15.75" x14ac:dyDescent="0.25">
      <c r="A756" s="25" t="s">
        <v>824</v>
      </c>
      <c r="B756" s="25">
        <v>49</v>
      </c>
      <c r="C756" s="25" t="s">
        <v>78</v>
      </c>
      <c r="D756" s="26">
        <v>53138</v>
      </c>
      <c r="E756" s="25">
        <v>18</v>
      </c>
      <c r="F756" s="25">
        <v>2</v>
      </c>
      <c r="G756" s="25">
        <v>0</v>
      </c>
      <c r="H756" s="25" t="s">
        <v>65</v>
      </c>
    </row>
    <row r="757" spans="1:8" ht="15.75" x14ac:dyDescent="0.25">
      <c r="A757" s="25" t="s">
        <v>825</v>
      </c>
      <c r="B757" s="25">
        <v>47</v>
      </c>
      <c r="C757" s="25" t="s">
        <v>78</v>
      </c>
      <c r="D757" s="26">
        <v>111573</v>
      </c>
      <c r="E757" s="25">
        <v>18</v>
      </c>
      <c r="F757" s="25">
        <v>1</v>
      </c>
      <c r="G757" s="25">
        <v>0</v>
      </c>
      <c r="H757" s="25" t="s">
        <v>68</v>
      </c>
    </row>
    <row r="758" spans="1:8" ht="15.75" x14ac:dyDescent="0.25">
      <c r="A758" s="25" t="s">
        <v>826</v>
      </c>
      <c r="B758" s="25">
        <v>51</v>
      </c>
      <c r="C758" s="25" t="s">
        <v>67</v>
      </c>
      <c r="D758" s="26">
        <v>42094</v>
      </c>
      <c r="E758" s="25">
        <v>14</v>
      </c>
      <c r="F758" s="25">
        <v>2</v>
      </c>
      <c r="G758" s="25">
        <v>0</v>
      </c>
      <c r="H758" s="25" t="s">
        <v>68</v>
      </c>
    </row>
    <row r="759" spans="1:8" ht="15.75" x14ac:dyDescent="0.25">
      <c r="A759" s="25" t="s">
        <v>827</v>
      </c>
      <c r="B759" s="25">
        <v>30</v>
      </c>
      <c r="C759" s="25" t="s">
        <v>83</v>
      </c>
      <c r="D759" s="26">
        <v>95264</v>
      </c>
      <c r="E759" s="25">
        <v>16</v>
      </c>
      <c r="F759" s="25">
        <v>2</v>
      </c>
      <c r="G759" s="25">
        <v>0</v>
      </c>
      <c r="H759" s="25" t="s">
        <v>65</v>
      </c>
    </row>
    <row r="760" spans="1:8" ht="15.75" x14ac:dyDescent="0.25">
      <c r="A760" s="25" t="s">
        <v>828</v>
      </c>
      <c r="B760" s="25">
        <v>51</v>
      </c>
      <c r="C760" s="25" t="s">
        <v>70</v>
      </c>
      <c r="D760" s="26">
        <v>39028</v>
      </c>
      <c r="E760" s="25">
        <v>6</v>
      </c>
      <c r="F760" s="25">
        <v>2</v>
      </c>
      <c r="G760" s="25">
        <v>0</v>
      </c>
      <c r="H760" s="25" t="s">
        <v>65</v>
      </c>
    </row>
    <row r="761" spans="1:8" ht="15.75" x14ac:dyDescent="0.25">
      <c r="A761" s="25" t="s">
        <v>829</v>
      </c>
      <c r="B761" s="25">
        <v>59</v>
      </c>
      <c r="C761" s="25" t="s">
        <v>67</v>
      </c>
      <c r="D761" s="26">
        <v>45432</v>
      </c>
      <c r="E761" s="25">
        <v>2</v>
      </c>
      <c r="F761" s="25">
        <v>4</v>
      </c>
      <c r="G761" s="25">
        <v>0</v>
      </c>
      <c r="H761" s="25" t="s">
        <v>65</v>
      </c>
    </row>
    <row r="762" spans="1:8" ht="15.75" x14ac:dyDescent="0.25">
      <c r="A762" s="25" t="s">
        <v>830</v>
      </c>
      <c r="B762" s="25">
        <v>30</v>
      </c>
      <c r="C762" s="25" t="s">
        <v>67</v>
      </c>
      <c r="D762" s="26">
        <v>73819</v>
      </c>
      <c r="E762" s="25">
        <v>4</v>
      </c>
      <c r="F762" s="25">
        <v>4</v>
      </c>
      <c r="G762" s="25">
        <v>1</v>
      </c>
      <c r="H762" s="25" t="s">
        <v>65</v>
      </c>
    </row>
    <row r="763" spans="1:8" ht="15.75" x14ac:dyDescent="0.25">
      <c r="A763" s="25" t="s">
        <v>831</v>
      </c>
      <c r="B763" s="25">
        <v>44</v>
      </c>
      <c r="C763" s="25" t="s">
        <v>78</v>
      </c>
      <c r="D763" s="26">
        <v>118627</v>
      </c>
      <c r="E763" s="25">
        <v>15</v>
      </c>
      <c r="F763" s="25">
        <v>1</v>
      </c>
      <c r="G763" s="25">
        <v>0</v>
      </c>
      <c r="H763" s="25" t="s">
        <v>68</v>
      </c>
    </row>
    <row r="764" spans="1:8" ht="15.75" x14ac:dyDescent="0.25">
      <c r="A764" s="25" t="s">
        <v>832</v>
      </c>
      <c r="B764" s="25">
        <v>53</v>
      </c>
      <c r="C764" s="25" t="s">
        <v>70</v>
      </c>
      <c r="D764" s="26">
        <v>111122</v>
      </c>
      <c r="E764" s="25">
        <v>6</v>
      </c>
      <c r="F764" s="25">
        <v>3</v>
      </c>
      <c r="G764" s="25">
        <v>1</v>
      </c>
      <c r="H764" s="25" t="s">
        <v>65</v>
      </c>
    </row>
    <row r="765" spans="1:8" ht="15.75" x14ac:dyDescent="0.25">
      <c r="A765" s="25" t="s">
        <v>833</v>
      </c>
      <c r="B765" s="25">
        <v>34</v>
      </c>
      <c r="C765" s="25" t="s">
        <v>67</v>
      </c>
      <c r="D765" s="26">
        <v>35312</v>
      </c>
      <c r="E765" s="25">
        <v>15</v>
      </c>
      <c r="F765" s="25">
        <v>1</v>
      </c>
      <c r="G765" s="25">
        <v>0</v>
      </c>
      <c r="H765" s="25" t="s">
        <v>65</v>
      </c>
    </row>
    <row r="766" spans="1:8" ht="15.75" x14ac:dyDescent="0.25">
      <c r="A766" s="25" t="s">
        <v>834</v>
      </c>
      <c r="B766" s="25">
        <v>55</v>
      </c>
      <c r="C766" s="25" t="s">
        <v>64</v>
      </c>
      <c r="D766" s="26">
        <v>55973</v>
      </c>
      <c r="E766" s="25">
        <v>8</v>
      </c>
      <c r="F766" s="25">
        <v>3</v>
      </c>
      <c r="G766" s="25">
        <v>1</v>
      </c>
      <c r="H766" s="25" t="s">
        <v>65</v>
      </c>
    </row>
    <row r="767" spans="1:8" ht="15.75" x14ac:dyDescent="0.25">
      <c r="A767" s="25" t="s">
        <v>835</v>
      </c>
      <c r="B767" s="25">
        <v>54</v>
      </c>
      <c r="C767" s="25" t="s">
        <v>67</v>
      </c>
      <c r="D767" s="26">
        <v>85305</v>
      </c>
      <c r="E767" s="25">
        <v>0</v>
      </c>
      <c r="F767" s="25">
        <v>3</v>
      </c>
      <c r="G767" s="25">
        <v>0</v>
      </c>
      <c r="H767" s="25" t="s">
        <v>65</v>
      </c>
    </row>
    <row r="768" spans="1:8" ht="15.75" x14ac:dyDescent="0.25">
      <c r="A768" s="25" t="s">
        <v>836</v>
      </c>
      <c r="B768" s="25">
        <v>37</v>
      </c>
      <c r="C768" s="25" t="s">
        <v>64</v>
      </c>
      <c r="D768" s="26">
        <v>58973</v>
      </c>
      <c r="E768" s="25">
        <v>2</v>
      </c>
      <c r="F768" s="25">
        <v>2</v>
      </c>
      <c r="G768" s="25">
        <v>0</v>
      </c>
      <c r="H768" s="25" t="s">
        <v>65</v>
      </c>
    </row>
    <row r="769" spans="1:8" ht="15.75" x14ac:dyDescent="0.25">
      <c r="A769" s="25" t="s">
        <v>837</v>
      </c>
      <c r="B769" s="25">
        <v>41</v>
      </c>
      <c r="C769" s="25" t="s">
        <v>83</v>
      </c>
      <c r="D769" s="26">
        <v>74390</v>
      </c>
      <c r="E769" s="25">
        <v>7</v>
      </c>
      <c r="F769" s="25">
        <v>2</v>
      </c>
      <c r="G769" s="25">
        <v>1</v>
      </c>
      <c r="H769" s="25" t="s">
        <v>68</v>
      </c>
    </row>
    <row r="770" spans="1:8" ht="15.75" x14ac:dyDescent="0.25">
      <c r="A770" s="25" t="s">
        <v>838</v>
      </c>
      <c r="B770" s="25">
        <v>52</v>
      </c>
      <c r="C770" s="25" t="s">
        <v>64</v>
      </c>
      <c r="D770" s="26">
        <v>46099</v>
      </c>
      <c r="E770" s="25">
        <v>17</v>
      </c>
      <c r="F770" s="25">
        <v>1</v>
      </c>
      <c r="G770" s="25">
        <v>1</v>
      </c>
      <c r="H770" s="25" t="s">
        <v>65</v>
      </c>
    </row>
    <row r="771" spans="1:8" ht="15.75" x14ac:dyDescent="0.25">
      <c r="A771" s="25" t="s">
        <v>839</v>
      </c>
      <c r="B771" s="25">
        <v>23</v>
      </c>
      <c r="C771" s="25" t="s">
        <v>64</v>
      </c>
      <c r="D771" s="26">
        <v>79956</v>
      </c>
      <c r="E771" s="25">
        <v>17</v>
      </c>
      <c r="F771" s="25">
        <v>1</v>
      </c>
      <c r="G771" s="25">
        <v>0</v>
      </c>
      <c r="H771" s="25" t="s">
        <v>65</v>
      </c>
    </row>
    <row r="772" spans="1:8" ht="15.75" x14ac:dyDescent="0.25">
      <c r="A772" s="25" t="s">
        <v>840</v>
      </c>
      <c r="B772" s="25">
        <v>35</v>
      </c>
      <c r="C772" s="25" t="s">
        <v>78</v>
      </c>
      <c r="D772" s="26">
        <v>44063</v>
      </c>
      <c r="E772" s="25">
        <v>18</v>
      </c>
      <c r="F772" s="25">
        <v>1</v>
      </c>
      <c r="G772" s="25">
        <v>0</v>
      </c>
      <c r="H772" s="25" t="s">
        <v>65</v>
      </c>
    </row>
    <row r="773" spans="1:8" ht="15.75" x14ac:dyDescent="0.25">
      <c r="A773" s="25" t="s">
        <v>841</v>
      </c>
      <c r="B773" s="25">
        <v>28</v>
      </c>
      <c r="C773" s="25" t="s">
        <v>67</v>
      </c>
      <c r="D773" s="26">
        <v>111919</v>
      </c>
      <c r="E773" s="25">
        <v>6</v>
      </c>
      <c r="F773" s="25">
        <v>4</v>
      </c>
      <c r="G773" s="25">
        <v>0</v>
      </c>
      <c r="H773" s="25" t="s">
        <v>68</v>
      </c>
    </row>
    <row r="774" spans="1:8" ht="15.75" x14ac:dyDescent="0.25">
      <c r="A774" s="25" t="s">
        <v>842</v>
      </c>
      <c r="B774" s="25">
        <v>52</v>
      </c>
      <c r="C774" s="25" t="s">
        <v>83</v>
      </c>
      <c r="D774" s="26">
        <v>39605</v>
      </c>
      <c r="E774" s="25">
        <v>19</v>
      </c>
      <c r="F774" s="25">
        <v>4</v>
      </c>
      <c r="G774" s="25">
        <v>0</v>
      </c>
      <c r="H774" s="25" t="s">
        <v>65</v>
      </c>
    </row>
    <row r="775" spans="1:8" ht="15.75" x14ac:dyDescent="0.25">
      <c r="A775" s="25" t="s">
        <v>843</v>
      </c>
      <c r="B775" s="25">
        <v>58</v>
      </c>
      <c r="C775" s="25" t="s">
        <v>67</v>
      </c>
      <c r="D775" s="26">
        <v>107904</v>
      </c>
      <c r="E775" s="25">
        <v>5</v>
      </c>
      <c r="F775" s="25">
        <v>4</v>
      </c>
      <c r="G775" s="25">
        <v>0</v>
      </c>
      <c r="H775" s="25" t="s">
        <v>68</v>
      </c>
    </row>
    <row r="776" spans="1:8" ht="15.75" x14ac:dyDescent="0.25">
      <c r="A776" s="25" t="s">
        <v>844</v>
      </c>
      <c r="B776" s="25">
        <v>46</v>
      </c>
      <c r="C776" s="25" t="s">
        <v>64</v>
      </c>
      <c r="D776" s="26">
        <v>102964</v>
      </c>
      <c r="E776" s="25">
        <v>10</v>
      </c>
      <c r="F776" s="25">
        <v>4</v>
      </c>
      <c r="G776" s="25">
        <v>1</v>
      </c>
      <c r="H776" s="25" t="s">
        <v>65</v>
      </c>
    </row>
    <row r="777" spans="1:8" ht="15.75" x14ac:dyDescent="0.25">
      <c r="A777" s="25" t="s">
        <v>845</v>
      </c>
      <c r="B777" s="25">
        <v>50</v>
      </c>
      <c r="C777" s="25" t="s">
        <v>64</v>
      </c>
      <c r="D777" s="26">
        <v>81205</v>
      </c>
      <c r="E777" s="25">
        <v>4</v>
      </c>
      <c r="F777" s="25">
        <v>4</v>
      </c>
      <c r="G777" s="25">
        <v>0</v>
      </c>
      <c r="H777" s="25" t="s">
        <v>65</v>
      </c>
    </row>
    <row r="778" spans="1:8" ht="15.75" x14ac:dyDescent="0.25">
      <c r="A778" s="25" t="s">
        <v>846</v>
      </c>
      <c r="B778" s="25">
        <v>29</v>
      </c>
      <c r="C778" s="25" t="s">
        <v>67</v>
      </c>
      <c r="D778" s="26">
        <v>45817</v>
      </c>
      <c r="E778" s="25">
        <v>11</v>
      </c>
      <c r="F778" s="25">
        <v>2</v>
      </c>
      <c r="G778" s="25">
        <v>0</v>
      </c>
      <c r="H778" s="25" t="s">
        <v>65</v>
      </c>
    </row>
    <row r="779" spans="1:8" ht="15.75" x14ac:dyDescent="0.25">
      <c r="A779" s="25" t="s">
        <v>847</v>
      </c>
      <c r="B779" s="25">
        <v>52</v>
      </c>
      <c r="C779" s="25" t="s">
        <v>83</v>
      </c>
      <c r="D779" s="26">
        <v>32420</v>
      </c>
      <c r="E779" s="25">
        <v>0</v>
      </c>
      <c r="F779" s="25">
        <v>3</v>
      </c>
      <c r="G779" s="25">
        <v>0</v>
      </c>
      <c r="H779" s="25" t="s">
        <v>65</v>
      </c>
    </row>
    <row r="780" spans="1:8" ht="15.75" x14ac:dyDescent="0.25">
      <c r="A780" s="25" t="s">
        <v>848</v>
      </c>
      <c r="B780" s="25">
        <v>31</v>
      </c>
      <c r="C780" s="25" t="s">
        <v>83</v>
      </c>
      <c r="D780" s="26">
        <v>114448</v>
      </c>
      <c r="E780" s="25">
        <v>18</v>
      </c>
      <c r="F780" s="25">
        <v>4</v>
      </c>
      <c r="G780" s="25">
        <v>1</v>
      </c>
      <c r="H780" s="25" t="s">
        <v>65</v>
      </c>
    </row>
    <row r="781" spans="1:8" ht="15.75" x14ac:dyDescent="0.25">
      <c r="A781" s="25" t="s">
        <v>849</v>
      </c>
      <c r="B781" s="25">
        <v>42</v>
      </c>
      <c r="C781" s="25" t="s">
        <v>78</v>
      </c>
      <c r="D781" s="26">
        <v>99853</v>
      </c>
      <c r="E781" s="25">
        <v>10</v>
      </c>
      <c r="F781" s="25">
        <v>1</v>
      </c>
      <c r="G781" s="25">
        <v>1</v>
      </c>
      <c r="H781" s="25" t="s">
        <v>65</v>
      </c>
    </row>
    <row r="782" spans="1:8" ht="15.75" x14ac:dyDescent="0.25">
      <c r="A782" s="25" t="s">
        <v>850</v>
      </c>
      <c r="B782" s="25">
        <v>54</v>
      </c>
      <c r="C782" s="25" t="s">
        <v>64</v>
      </c>
      <c r="D782" s="26">
        <v>119897</v>
      </c>
      <c r="E782" s="25">
        <v>14</v>
      </c>
      <c r="F782" s="25">
        <v>3</v>
      </c>
      <c r="G782" s="25">
        <v>0</v>
      </c>
      <c r="H782" s="25" t="s">
        <v>65</v>
      </c>
    </row>
    <row r="783" spans="1:8" ht="15.75" x14ac:dyDescent="0.25">
      <c r="A783" s="25" t="s">
        <v>851</v>
      </c>
      <c r="B783" s="25">
        <v>38</v>
      </c>
      <c r="C783" s="25" t="s">
        <v>64</v>
      </c>
      <c r="D783" s="26">
        <v>57728</v>
      </c>
      <c r="E783" s="25">
        <v>15</v>
      </c>
      <c r="F783" s="25">
        <v>4</v>
      </c>
      <c r="G783" s="25">
        <v>0</v>
      </c>
      <c r="H783" s="25" t="s">
        <v>65</v>
      </c>
    </row>
    <row r="784" spans="1:8" ht="15.75" x14ac:dyDescent="0.25">
      <c r="A784" s="25" t="s">
        <v>852</v>
      </c>
      <c r="B784" s="25">
        <v>39</v>
      </c>
      <c r="C784" s="25" t="s">
        <v>78</v>
      </c>
      <c r="D784" s="26">
        <v>87858</v>
      </c>
      <c r="E784" s="25">
        <v>2</v>
      </c>
      <c r="F784" s="25">
        <v>4</v>
      </c>
      <c r="G784" s="25">
        <v>0</v>
      </c>
      <c r="H784" s="25" t="s">
        <v>65</v>
      </c>
    </row>
    <row r="785" spans="1:8" ht="15.75" x14ac:dyDescent="0.25">
      <c r="A785" s="25" t="s">
        <v>853</v>
      </c>
      <c r="B785" s="25">
        <v>38</v>
      </c>
      <c r="C785" s="25" t="s">
        <v>67</v>
      </c>
      <c r="D785" s="26">
        <v>79089</v>
      </c>
      <c r="E785" s="25">
        <v>10</v>
      </c>
      <c r="F785" s="25">
        <v>2</v>
      </c>
      <c r="G785" s="25">
        <v>0</v>
      </c>
      <c r="H785" s="25" t="s">
        <v>65</v>
      </c>
    </row>
    <row r="786" spans="1:8" ht="15.75" x14ac:dyDescent="0.25">
      <c r="A786" s="25" t="s">
        <v>854</v>
      </c>
      <c r="B786" s="25">
        <v>57</v>
      </c>
      <c r="C786" s="25" t="s">
        <v>64</v>
      </c>
      <c r="D786" s="26">
        <v>114257</v>
      </c>
      <c r="E786" s="25">
        <v>10</v>
      </c>
      <c r="F786" s="25">
        <v>2</v>
      </c>
      <c r="G786" s="25">
        <v>0</v>
      </c>
      <c r="H786" s="25" t="s">
        <v>65</v>
      </c>
    </row>
    <row r="787" spans="1:8" ht="15.75" x14ac:dyDescent="0.25">
      <c r="A787" s="25" t="s">
        <v>855</v>
      </c>
      <c r="B787" s="25">
        <v>38</v>
      </c>
      <c r="C787" s="25" t="s">
        <v>67</v>
      </c>
      <c r="D787" s="26">
        <v>58964</v>
      </c>
      <c r="E787" s="25">
        <v>9</v>
      </c>
      <c r="F787" s="25">
        <v>2</v>
      </c>
      <c r="G787" s="25">
        <v>1</v>
      </c>
      <c r="H787" s="25" t="s">
        <v>65</v>
      </c>
    </row>
    <row r="788" spans="1:8" ht="15.75" x14ac:dyDescent="0.25">
      <c r="A788" s="25" t="s">
        <v>856</v>
      </c>
      <c r="B788" s="25">
        <v>32</v>
      </c>
      <c r="C788" s="25" t="s">
        <v>83</v>
      </c>
      <c r="D788" s="26">
        <v>106992</v>
      </c>
      <c r="E788" s="25">
        <v>1</v>
      </c>
      <c r="F788" s="25">
        <v>4</v>
      </c>
      <c r="G788" s="25">
        <v>1</v>
      </c>
      <c r="H788" s="25" t="s">
        <v>65</v>
      </c>
    </row>
    <row r="789" spans="1:8" ht="15.75" x14ac:dyDescent="0.25">
      <c r="A789" s="25" t="s">
        <v>857</v>
      </c>
      <c r="B789" s="25">
        <v>24</v>
      </c>
      <c r="C789" s="25" t="s">
        <v>70</v>
      </c>
      <c r="D789" s="26">
        <v>72240</v>
      </c>
      <c r="E789" s="25">
        <v>19</v>
      </c>
      <c r="F789" s="25">
        <v>2</v>
      </c>
      <c r="G789" s="25">
        <v>0</v>
      </c>
      <c r="H789" s="25" t="s">
        <v>68</v>
      </c>
    </row>
    <row r="790" spans="1:8" ht="15.75" x14ac:dyDescent="0.25">
      <c r="A790" s="25" t="s">
        <v>858</v>
      </c>
      <c r="B790" s="25">
        <v>47</v>
      </c>
      <c r="C790" s="25" t="s">
        <v>78</v>
      </c>
      <c r="D790" s="26">
        <v>113449</v>
      </c>
      <c r="E790" s="25">
        <v>4</v>
      </c>
      <c r="F790" s="25">
        <v>4</v>
      </c>
      <c r="G790" s="25">
        <v>0</v>
      </c>
      <c r="H790" s="25" t="s">
        <v>68</v>
      </c>
    </row>
    <row r="791" spans="1:8" ht="15.75" x14ac:dyDescent="0.25">
      <c r="A791" s="25" t="s">
        <v>859</v>
      </c>
      <c r="B791" s="25">
        <v>25</v>
      </c>
      <c r="C791" s="25" t="s">
        <v>64</v>
      </c>
      <c r="D791" s="26">
        <v>42675</v>
      </c>
      <c r="E791" s="25">
        <v>7</v>
      </c>
      <c r="F791" s="25">
        <v>3</v>
      </c>
      <c r="G791" s="25">
        <v>0</v>
      </c>
      <c r="H791" s="25" t="s">
        <v>68</v>
      </c>
    </row>
    <row r="792" spans="1:8" ht="15.75" x14ac:dyDescent="0.25">
      <c r="A792" s="25" t="s">
        <v>860</v>
      </c>
      <c r="B792" s="25">
        <v>26</v>
      </c>
      <c r="C792" s="25" t="s">
        <v>78</v>
      </c>
      <c r="D792" s="26">
        <v>90049</v>
      </c>
      <c r="E792" s="25">
        <v>12</v>
      </c>
      <c r="F792" s="25">
        <v>3</v>
      </c>
      <c r="G792" s="25">
        <v>0</v>
      </c>
      <c r="H792" s="25" t="s">
        <v>65</v>
      </c>
    </row>
    <row r="793" spans="1:8" ht="15.75" x14ac:dyDescent="0.25">
      <c r="A793" s="25" t="s">
        <v>861</v>
      </c>
      <c r="B793" s="25">
        <v>33</v>
      </c>
      <c r="C793" s="25" t="s">
        <v>83</v>
      </c>
      <c r="D793" s="26">
        <v>111664</v>
      </c>
      <c r="E793" s="25">
        <v>14</v>
      </c>
      <c r="F793" s="25">
        <v>4</v>
      </c>
      <c r="G793" s="25">
        <v>1</v>
      </c>
      <c r="H793" s="25" t="s">
        <v>65</v>
      </c>
    </row>
    <row r="794" spans="1:8" ht="15.75" x14ac:dyDescent="0.25">
      <c r="A794" s="25" t="s">
        <v>862</v>
      </c>
      <c r="B794" s="25">
        <v>43</v>
      </c>
      <c r="C794" s="25" t="s">
        <v>83</v>
      </c>
      <c r="D794" s="26">
        <v>78436</v>
      </c>
      <c r="E794" s="25">
        <v>1</v>
      </c>
      <c r="F794" s="25">
        <v>1</v>
      </c>
      <c r="G794" s="25">
        <v>0</v>
      </c>
      <c r="H794" s="25" t="s">
        <v>68</v>
      </c>
    </row>
    <row r="795" spans="1:8" ht="15.75" x14ac:dyDescent="0.25">
      <c r="A795" s="25" t="s">
        <v>863</v>
      </c>
      <c r="B795" s="25">
        <v>45</v>
      </c>
      <c r="C795" s="25" t="s">
        <v>83</v>
      </c>
      <c r="D795" s="26">
        <v>70213</v>
      </c>
      <c r="E795" s="25">
        <v>11</v>
      </c>
      <c r="F795" s="25">
        <v>4</v>
      </c>
      <c r="G795" s="25">
        <v>0</v>
      </c>
      <c r="H795" s="25" t="s">
        <v>65</v>
      </c>
    </row>
    <row r="796" spans="1:8" ht="15.75" x14ac:dyDescent="0.25">
      <c r="A796" s="25" t="s">
        <v>864</v>
      </c>
      <c r="B796" s="25">
        <v>24</v>
      </c>
      <c r="C796" s="25" t="s">
        <v>83</v>
      </c>
      <c r="D796" s="26">
        <v>58111</v>
      </c>
      <c r="E796" s="25">
        <v>7</v>
      </c>
      <c r="F796" s="25">
        <v>3</v>
      </c>
      <c r="G796" s="25">
        <v>1</v>
      </c>
      <c r="H796" s="25" t="s">
        <v>65</v>
      </c>
    </row>
    <row r="797" spans="1:8" ht="15.75" x14ac:dyDescent="0.25">
      <c r="A797" s="25" t="s">
        <v>865</v>
      </c>
      <c r="B797" s="25">
        <v>52</v>
      </c>
      <c r="C797" s="25" t="s">
        <v>70</v>
      </c>
      <c r="D797" s="26">
        <v>34284</v>
      </c>
      <c r="E797" s="25">
        <v>18</v>
      </c>
      <c r="F797" s="25">
        <v>3</v>
      </c>
      <c r="G797" s="25">
        <v>0</v>
      </c>
      <c r="H797" s="25" t="s">
        <v>65</v>
      </c>
    </row>
    <row r="798" spans="1:8" ht="15.75" x14ac:dyDescent="0.25">
      <c r="A798" s="25" t="s">
        <v>866</v>
      </c>
      <c r="B798" s="25">
        <v>35</v>
      </c>
      <c r="C798" s="25" t="s">
        <v>67</v>
      </c>
      <c r="D798" s="26">
        <v>47585</v>
      </c>
      <c r="E798" s="25">
        <v>0</v>
      </c>
      <c r="F798" s="25">
        <v>4</v>
      </c>
      <c r="G798" s="25">
        <v>1</v>
      </c>
      <c r="H798" s="25" t="s">
        <v>65</v>
      </c>
    </row>
    <row r="799" spans="1:8" ht="15.75" x14ac:dyDescent="0.25">
      <c r="A799" s="25" t="s">
        <v>867</v>
      </c>
      <c r="B799" s="25">
        <v>46</v>
      </c>
      <c r="C799" s="25" t="s">
        <v>67</v>
      </c>
      <c r="D799" s="26">
        <v>95039</v>
      </c>
      <c r="E799" s="25">
        <v>7</v>
      </c>
      <c r="F799" s="25">
        <v>4</v>
      </c>
      <c r="G799" s="25">
        <v>1</v>
      </c>
      <c r="H799" s="25" t="s">
        <v>68</v>
      </c>
    </row>
    <row r="800" spans="1:8" ht="15.75" x14ac:dyDescent="0.25">
      <c r="A800" s="25" t="s">
        <v>868</v>
      </c>
      <c r="B800" s="25">
        <v>31</v>
      </c>
      <c r="C800" s="25" t="s">
        <v>70</v>
      </c>
      <c r="D800" s="26">
        <v>37131</v>
      </c>
      <c r="E800" s="25">
        <v>9</v>
      </c>
      <c r="F800" s="25">
        <v>4</v>
      </c>
      <c r="G800" s="25">
        <v>1</v>
      </c>
      <c r="H800" s="25" t="s">
        <v>65</v>
      </c>
    </row>
    <row r="801" spans="1:8" ht="15.75" x14ac:dyDescent="0.25">
      <c r="A801" s="25" t="s">
        <v>869</v>
      </c>
      <c r="B801" s="25">
        <v>29</v>
      </c>
      <c r="C801" s="25" t="s">
        <v>67</v>
      </c>
      <c r="D801" s="26">
        <v>73382</v>
      </c>
      <c r="E801" s="25">
        <v>12</v>
      </c>
      <c r="F801" s="25">
        <v>3</v>
      </c>
      <c r="G801" s="25">
        <v>0</v>
      </c>
      <c r="H801" s="25" t="s">
        <v>65</v>
      </c>
    </row>
  </sheetData>
  <conditionalFormatting sqref="A2:A5000">
    <cfRule type="duplicateValues" dxfId="0" priority="1"/>
  </conditionalFormatting>
  <dataValidations count="4">
    <dataValidation type="list" allowBlank="1" showErrorMessage="1" errorTitle="Invalid entry" error="Pick a department from the Settings list (add new ones in Settings first)." sqref="C2:C5000">
      <formula1>DeptList</formula1>
    </dataValidation>
    <dataValidation type="list" allowBlank="1" showErrorMessage="1" errorTitle="Invalid entry" error="Attrition must be Yes or No." sqref="H2:H5000">
      <formula1>"Yes,No"</formula1>
    </dataValidation>
    <dataValidation type="list" allowBlank="1" showErrorMessage="1" errorTitle="Invalid entry" error="Job satisfaction must be one of the levels in Settings." sqref="F2:F5000">
      <formula1>SatLevels</formula1>
    </dataValidation>
    <dataValidation type="list" allowBlank="1" showErrorMessage="1" errorTitle="Invalid entry" error="Promotion flag must be 0 or 1." sqref="G2:G5000">
      <formula1>"0,1"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2:R29"/>
  <sheetViews>
    <sheetView showGridLines="0" workbookViewId="0">
      <selection activeCell="A3" sqref="A3:G3"/>
    </sheetView>
  </sheetViews>
  <sheetFormatPr defaultRowHeight="15" x14ac:dyDescent="0.25"/>
  <cols>
    <col min="1" max="1" width="2" customWidth="1"/>
    <col min="2" max="2" width="39.7109375" customWidth="1"/>
    <col min="3" max="3" width="12" customWidth="1"/>
    <col min="4" max="4" width="14" customWidth="1"/>
    <col min="5" max="5" width="3" customWidth="1"/>
    <col min="6" max="6" width="16" customWidth="1"/>
    <col min="7" max="7" width="3" customWidth="1"/>
    <col min="8" max="8" width="14" customWidth="1"/>
    <col min="9" max="10" width="9" customWidth="1"/>
    <col min="11" max="11" width="3" customWidth="1"/>
    <col min="12" max="12" width="12" customWidth="1"/>
    <col min="13" max="14" width="8" customWidth="1"/>
    <col min="15" max="15" width="3" customWidth="1"/>
    <col min="16" max="16" width="16" customWidth="1"/>
    <col min="17" max="18" width="10" customWidth="1"/>
  </cols>
  <sheetData>
    <row r="2" spans="1:18" ht="23.25" x14ac:dyDescent="0.35">
      <c r="B2" s="11" t="s">
        <v>870</v>
      </c>
    </row>
    <row r="3" spans="1:18" x14ac:dyDescent="0.25">
      <c r="A3" s="97" t="s">
        <v>871</v>
      </c>
      <c r="B3" s="97"/>
      <c r="C3" s="97"/>
      <c r="D3" s="97"/>
      <c r="E3" s="97"/>
      <c r="F3" s="97"/>
      <c r="G3" s="97"/>
    </row>
    <row r="5" spans="1:18" x14ac:dyDescent="0.25">
      <c r="B5" s="12" t="s">
        <v>872</v>
      </c>
      <c r="D5" s="12" t="s">
        <v>873</v>
      </c>
      <c r="F5" s="12" t="s">
        <v>874</v>
      </c>
      <c r="H5" s="12" t="s">
        <v>875</v>
      </c>
      <c r="I5" s="12" t="s">
        <v>876</v>
      </c>
      <c r="J5" s="12" t="s">
        <v>877</v>
      </c>
      <c r="L5" s="12" t="s">
        <v>878</v>
      </c>
      <c r="M5" s="12" t="s">
        <v>879</v>
      </c>
      <c r="N5" s="12" t="s">
        <v>880</v>
      </c>
      <c r="P5" s="12" t="s">
        <v>881</v>
      </c>
      <c r="Q5" s="12" t="s">
        <v>882</v>
      </c>
      <c r="R5" s="12" t="s">
        <v>883</v>
      </c>
    </row>
    <row r="6" spans="1:18" x14ac:dyDescent="0.25">
      <c r="B6" s="10" t="s">
        <v>6</v>
      </c>
      <c r="D6" s="10" t="s">
        <v>6</v>
      </c>
      <c r="F6" t="s">
        <v>6</v>
      </c>
      <c r="H6" s="10" t="str">
        <f>IF(J6&gt;=999,I6&amp;"+ yrs",I6&amp;"–"&amp;J6&amp;" yrs")</f>
        <v>0–2 yrs</v>
      </c>
      <c r="I6" s="13">
        <v>0</v>
      </c>
      <c r="J6" s="13">
        <v>2</v>
      </c>
      <c r="L6" s="10" t="str">
        <f>IF(M6&lt;=0,"Under "&amp;(N6+1),IF(N6&gt;=999,M6&amp;"+",M6&amp;"–"&amp;N6))</f>
        <v>Under 30</v>
      </c>
      <c r="M6" s="13">
        <v>0</v>
      </c>
      <c r="N6" s="13">
        <v>29</v>
      </c>
      <c r="P6" s="10" t="str">
        <f>IF(Q6&lt;=0,"Under $"&amp;TEXT((R6+1)/1000,"0")&amp;"k",IF(R6&gt;=999999,"$"&amp;TEXT(Q6/1000,"0")&amp;"k+","$"&amp;TEXT(Q6/1000,"0")&amp;"k–$"&amp;TEXT((R6+1)/1000,"0")&amp;"k"))</f>
        <v>Under $50k</v>
      </c>
      <c r="Q6" s="14">
        <v>0</v>
      </c>
      <c r="R6" s="14">
        <v>49999</v>
      </c>
    </row>
    <row r="7" spans="1:18" x14ac:dyDescent="0.25">
      <c r="B7" s="15" t="s">
        <v>83</v>
      </c>
      <c r="D7" s="13">
        <v>1</v>
      </c>
      <c r="F7" t="s">
        <v>884</v>
      </c>
      <c r="H7" s="10" t="str">
        <f>IF(J7&gt;=999,I7&amp;"+ yrs",I7&amp;"–"&amp;J7&amp;" yrs")</f>
        <v>3–5 yrs</v>
      </c>
      <c r="I7" s="13">
        <v>3</v>
      </c>
      <c r="J7" s="13">
        <v>5</v>
      </c>
      <c r="L7" s="10" t="str">
        <f>IF(M7&lt;=0,"Under "&amp;(N7+1),IF(N7&gt;=999,M7&amp;"+",M7&amp;"–"&amp;N7))</f>
        <v>30–39</v>
      </c>
      <c r="M7" s="13">
        <v>30</v>
      </c>
      <c r="N7" s="13">
        <v>39</v>
      </c>
      <c r="P7" s="10" t="str">
        <f>IF(Q7&lt;=0,"Under $"&amp;TEXT((R7+1)/1000,"0")&amp;"k",IF(R7&gt;=999999,"$"&amp;TEXT(Q7/1000,"0")&amp;"k+","$"&amp;TEXT(Q7/1000,"0")&amp;"k–$"&amp;TEXT((R7+1)/1000,"0")&amp;"k"))</f>
        <v>$50k–$70k</v>
      </c>
      <c r="Q7" s="14">
        <v>50000</v>
      </c>
      <c r="R7" s="14">
        <v>69999</v>
      </c>
    </row>
    <row r="8" spans="1:18" x14ac:dyDescent="0.25">
      <c r="B8" s="15" t="s">
        <v>67</v>
      </c>
      <c r="D8" s="13">
        <v>2</v>
      </c>
      <c r="F8" t="s">
        <v>885</v>
      </c>
      <c r="H8" s="10" t="str">
        <f>IF(J8&gt;=999,I8&amp;"+ yrs",I8&amp;"–"&amp;J8&amp;" yrs")</f>
        <v>6–10 yrs</v>
      </c>
      <c r="I8" s="13">
        <v>6</v>
      </c>
      <c r="J8" s="13">
        <v>10</v>
      </c>
      <c r="L8" s="10" t="str">
        <f>IF(M8&lt;=0,"Under "&amp;(N8+1),IF(N8&gt;=999,M8&amp;"+",M8&amp;"–"&amp;N8))</f>
        <v>40–49</v>
      </c>
      <c r="M8" s="13">
        <v>40</v>
      </c>
      <c r="N8" s="13">
        <v>49</v>
      </c>
      <c r="P8" s="10" t="str">
        <f>IF(Q8&lt;=0,"Under $"&amp;TEXT((R8+1)/1000,"0")&amp;"k",IF(R8&gt;=999999,"$"&amp;TEXT(Q8/1000,"0")&amp;"k+","$"&amp;TEXT(Q8/1000,"0")&amp;"k–$"&amp;TEXT((R8+1)/1000,"0")&amp;"k"))</f>
        <v>$70k–$90k</v>
      </c>
      <c r="Q8" s="14">
        <v>70000</v>
      </c>
      <c r="R8" s="14">
        <v>89999</v>
      </c>
    </row>
    <row r="9" spans="1:18" x14ac:dyDescent="0.25">
      <c r="B9" s="15" t="s">
        <v>64</v>
      </c>
      <c r="D9" s="13">
        <v>3</v>
      </c>
      <c r="H9" s="10" t="str">
        <f>IF(J9&gt;=999,I9&amp;"+ yrs",I9&amp;"–"&amp;J9&amp;" yrs")</f>
        <v>11–15 yrs</v>
      </c>
      <c r="I9" s="13">
        <v>11</v>
      </c>
      <c r="J9" s="13">
        <v>15</v>
      </c>
      <c r="L9" s="10" t="str">
        <f>IF(M9&lt;=0,"Under "&amp;(N9+1),IF(N9&gt;=999,M9&amp;"+",M9&amp;"–"&amp;N9))</f>
        <v>50+</v>
      </c>
      <c r="M9" s="13">
        <v>50</v>
      </c>
      <c r="N9" s="13">
        <v>999</v>
      </c>
      <c r="P9" s="10" t="str">
        <f>IF(Q9&lt;=0,"Under $"&amp;TEXT((R9+1)/1000,"0")&amp;"k",IF(R9&gt;=999999,"$"&amp;TEXT(Q9/1000,"0")&amp;"k+","$"&amp;TEXT(Q9/1000,"0")&amp;"k–$"&amp;TEXT((R9+1)/1000,"0")&amp;"k"))</f>
        <v>$90k–$110k</v>
      </c>
      <c r="Q9" s="14">
        <v>90000</v>
      </c>
      <c r="R9" s="14">
        <v>109999</v>
      </c>
    </row>
    <row r="10" spans="1:18" x14ac:dyDescent="0.25">
      <c r="B10" s="15" t="s">
        <v>70</v>
      </c>
      <c r="D10" s="13">
        <v>4</v>
      </c>
      <c r="H10" s="10" t="str">
        <f>IF(J10&gt;=999,I10&amp;"+ yrs",I10&amp;"–"&amp;J10&amp;" yrs")</f>
        <v>16+ yrs</v>
      </c>
      <c r="I10" s="13">
        <v>16</v>
      </c>
      <c r="J10" s="13">
        <v>999</v>
      </c>
      <c r="L10" s="10"/>
      <c r="P10" s="10" t="str">
        <f>IF(Q10&lt;=0,"Under $"&amp;TEXT((R10+1)/1000,"0")&amp;"k",IF(R10&gt;=999999,"$"&amp;TEXT(Q10/1000,"0")&amp;"k+","$"&amp;TEXT(Q10/1000,"0")&amp;"k–$"&amp;TEXT((R10+1)/1000,"0")&amp;"k"))</f>
        <v>$110k+</v>
      </c>
      <c r="Q10" s="14">
        <v>110000</v>
      </c>
      <c r="R10" s="14">
        <v>999999</v>
      </c>
    </row>
    <row r="11" spans="1:18" x14ac:dyDescent="0.25">
      <c r="B11" s="15" t="s">
        <v>78</v>
      </c>
    </row>
    <row r="12" spans="1:18" x14ac:dyDescent="0.25">
      <c r="B12" s="16"/>
    </row>
    <row r="13" spans="1:18" x14ac:dyDescent="0.25">
      <c r="B13" s="16"/>
    </row>
    <row r="14" spans="1:18" x14ac:dyDescent="0.25">
      <c r="B14" s="16"/>
    </row>
    <row r="16" spans="1:18" x14ac:dyDescent="0.25">
      <c r="B16" s="17" t="s">
        <v>886</v>
      </c>
    </row>
    <row r="18" spans="2:4" x14ac:dyDescent="0.25">
      <c r="B18" s="10" t="s">
        <v>887</v>
      </c>
      <c r="C18" s="18">
        <v>0.15</v>
      </c>
      <c r="D18" s="19" t="s">
        <v>888</v>
      </c>
    </row>
    <row r="19" spans="2:4" x14ac:dyDescent="0.25">
      <c r="B19" s="19" t="s">
        <v>889</v>
      </c>
    </row>
    <row r="21" spans="2:4" x14ac:dyDescent="0.25">
      <c r="B21" s="17" t="s">
        <v>890</v>
      </c>
    </row>
    <row r="22" spans="2:4" x14ac:dyDescent="0.25">
      <c r="B22" s="20" t="s">
        <v>891</v>
      </c>
      <c r="C22" s="21">
        <f>COUNTA(d_ID)</f>
        <v>800</v>
      </c>
      <c r="D22" s="9"/>
    </row>
    <row r="23" spans="2:4" x14ac:dyDescent="0.25">
      <c r="B23" s="22" t="s">
        <v>892</v>
      </c>
      <c r="C23" s="23">
        <f>C22-SUM(Calc!J25:J32)</f>
        <v>0</v>
      </c>
      <c r="D23" s="20" t="str">
        <f t="shared" ref="D23:D28" si="0">IF(C23=0,"✔ OK","✖ Review")</f>
        <v>✔ OK</v>
      </c>
    </row>
    <row r="24" spans="2:4" x14ac:dyDescent="0.25">
      <c r="B24" s="22" t="s">
        <v>893</v>
      </c>
      <c r="C24" s="23">
        <f>C22-COUNTIFS(d_ID,"&lt;&gt;",d_Att,"Yes")-COUNTIFS(d_ID,"&lt;&gt;",d_Att,"No")</f>
        <v>0</v>
      </c>
      <c r="D24" s="20" t="str">
        <f t="shared" si="0"/>
        <v>✔ OK</v>
      </c>
    </row>
    <row r="25" spans="2:4" x14ac:dyDescent="0.25">
      <c r="B25" s="22" t="s">
        <v>894</v>
      </c>
      <c r="C25" s="23">
        <f>C22-COUNTIFS(d_ID,"&lt;&gt;",d_Sat,"&gt;="&amp;MIN(SatLevels),d_Sat,"&lt;="&amp;MAX(SatLevels))</f>
        <v>0</v>
      </c>
      <c r="D25" s="20" t="str">
        <f t="shared" si="0"/>
        <v>✔ OK</v>
      </c>
    </row>
    <row r="26" spans="2:4" x14ac:dyDescent="0.25">
      <c r="B26" s="22" t="s">
        <v>895</v>
      </c>
      <c r="C26" s="23">
        <f>C22-COUNTIFS(d_ID,"&lt;&gt;",d_Prom,"&gt;=0",d_Prom,"&lt;=1")</f>
        <v>0</v>
      </c>
      <c r="D26" s="20" t="str">
        <f t="shared" si="0"/>
        <v>✔ OK</v>
      </c>
    </row>
    <row r="27" spans="2:4" x14ac:dyDescent="0.25">
      <c r="B27" s="22" t="s">
        <v>896</v>
      </c>
      <c r="C27" s="23">
        <f>C22*7-(COUNT(d_Age)+COUNTA(d_Dept)+COUNT(d_Sal)+COUNT(d_Ten)+COUNT(d_Sat)+COUNT(d_Prom)+COUNTA(d_Att))</f>
        <v>0</v>
      </c>
      <c r="D27" s="20" t="str">
        <f t="shared" si="0"/>
        <v>✔ OK</v>
      </c>
    </row>
    <row r="28" spans="2:4" x14ac:dyDescent="0.25">
      <c r="B28" s="20" t="s">
        <v>897</v>
      </c>
      <c r="C28" s="21">
        <f>SUM(C23:C27)</f>
        <v>0</v>
      </c>
      <c r="D28" s="20" t="str">
        <f t="shared" si="0"/>
        <v>✔ OK</v>
      </c>
    </row>
    <row r="29" spans="2:4" x14ac:dyDescent="0.25">
      <c r="B29" s="19" t="s">
        <v>898</v>
      </c>
    </row>
  </sheetData>
  <mergeCells count="1">
    <mergeCell ref="A3:G3"/>
  </mergeCells>
  <conditionalFormatting sqref="D23:D28">
    <cfRule type="expression" dxfId="2" priority="1">
      <formula>LEFT(D23,1)="✖"</formula>
    </cfRule>
    <cfRule type="expression" dxfId="1" priority="2">
      <formula>LEFT(D23,1)="✔"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B1:M112"/>
  <sheetViews>
    <sheetView showGridLines="0" workbookViewId="0">
      <selection activeCell="E13" sqref="A1:XFD1048576"/>
    </sheetView>
  </sheetViews>
  <sheetFormatPr defaultRowHeight="15.75" x14ac:dyDescent="0.25"/>
  <cols>
    <col min="1" max="1" width="2" style="30" customWidth="1"/>
    <col min="2" max="2" width="24" style="30" customWidth="1"/>
    <col min="3" max="3" width="14" style="30" customWidth="1"/>
    <col min="4" max="4" width="16" style="30" customWidth="1"/>
    <col min="5" max="10" width="14" style="30" customWidth="1"/>
    <col min="11" max="13" width="12" style="30" customWidth="1"/>
    <col min="14" max="16384" width="9.140625" style="30"/>
  </cols>
  <sheetData>
    <row r="1" spans="2:4" x14ac:dyDescent="0.25">
      <c r="B1" s="29" t="s">
        <v>899</v>
      </c>
    </row>
    <row r="2" spans="2:4" x14ac:dyDescent="0.25">
      <c r="B2" s="29" t="s">
        <v>900</v>
      </c>
    </row>
    <row r="3" spans="2:4" x14ac:dyDescent="0.25">
      <c r="B3" s="25" t="s">
        <v>901</v>
      </c>
      <c r="C3" s="25" t="str">
        <f>IF(Dashboard!$B$6="All","*",Dashboard!$B$6)</f>
        <v>*</v>
      </c>
    </row>
    <row r="4" spans="2:4" x14ac:dyDescent="0.25">
      <c r="B4" s="25" t="s">
        <v>902</v>
      </c>
      <c r="C4" s="25">
        <f>IF(Dashboard!$G$6="All",0,VALUE(Dashboard!$G$6))</f>
        <v>0</v>
      </c>
    </row>
    <row r="5" spans="2:4" x14ac:dyDescent="0.25">
      <c r="B5" s="25" t="s">
        <v>903</v>
      </c>
      <c r="C5" s="25">
        <f>IF(Dashboard!$G$6="All",9999,VALUE(Dashboard!$G$6))</f>
        <v>9999</v>
      </c>
    </row>
    <row r="6" spans="2:4" x14ac:dyDescent="0.25">
      <c r="B6" s="25" t="s">
        <v>904</v>
      </c>
      <c r="C6" s="25">
        <f>IF(Dashboard!$L$6="Promoted",1,0)</f>
        <v>0</v>
      </c>
    </row>
    <row r="7" spans="2:4" x14ac:dyDescent="0.25">
      <c r="B7" s="25" t="s">
        <v>905</v>
      </c>
      <c r="C7" s="25">
        <f>IF(Dashboard!$L$6="Not promoted",0,9999)</f>
        <v>9999</v>
      </c>
    </row>
    <row r="8" spans="2:4" x14ac:dyDescent="0.25">
      <c r="B8" s="25" t="s">
        <v>906</v>
      </c>
      <c r="C8" s="25">
        <f>IF(AND(Dashboard!$B$6="All",Dashboard!$G$6="All",Dashboard!$L$6="All"),0,1)</f>
        <v>0</v>
      </c>
    </row>
    <row r="10" spans="2:4" x14ac:dyDescent="0.25">
      <c r="B10" s="29"/>
    </row>
    <row r="11" spans="2:4" x14ac:dyDescent="0.25">
      <c r="B11" s="31" t="s">
        <v>907</v>
      </c>
      <c r="C11" s="31" t="s">
        <v>908</v>
      </c>
      <c r="D11" s="31" t="s">
        <v>909</v>
      </c>
    </row>
    <row r="12" spans="2:4" x14ac:dyDescent="0.25">
      <c r="B12" s="25" t="s">
        <v>48</v>
      </c>
      <c r="C12" s="32">
        <f>COUNTIFS(d_ID,"&lt;&gt;")</f>
        <v>800</v>
      </c>
      <c r="D12" s="32">
        <f>COUNTIFS(d_ID,"&lt;&gt;",d_Dept,fDept,d_Sat,"&gt;="&amp;fSatLo,d_Sat,"&lt;="&amp;fSatHi,d_Prom,"&gt;="&amp;fPromLo,d_Prom,"&lt;="&amp;fPromHi)</f>
        <v>800</v>
      </c>
    </row>
    <row r="13" spans="2:4" x14ac:dyDescent="0.25">
      <c r="B13" s="25" t="s">
        <v>910</v>
      </c>
      <c r="C13" s="32">
        <f>COUNTIFS(d_ID,"&lt;&gt;",d_Att,"Yes")</f>
        <v>146</v>
      </c>
      <c r="D13" s="32">
        <f>COUNTIFS(d_ID,"&lt;&gt;",d_Dept,fDept,d_Sat,"&gt;="&amp;fSatLo,d_Sat,"&lt;="&amp;fSatHi,d_Prom,"&gt;="&amp;fPromLo,d_Prom,"&lt;="&amp;fPromHi,d_Att,"Yes")</f>
        <v>146</v>
      </c>
    </row>
    <row r="14" spans="2:4" x14ac:dyDescent="0.25">
      <c r="B14" s="25" t="s">
        <v>911</v>
      </c>
      <c r="C14" s="33">
        <f>IFERROR(C13/C12,0)</f>
        <v>0.1825</v>
      </c>
      <c r="D14" s="33">
        <f>IFERROR(D13/D12,0)</f>
        <v>0.1825</v>
      </c>
    </row>
    <row r="15" spans="2:4" x14ac:dyDescent="0.25">
      <c r="B15" s="25" t="s">
        <v>912</v>
      </c>
      <c r="C15" s="26">
        <f>IFERROR(AVERAGEIFS(d_Sal,d_ID,"&lt;&gt;"),0)</f>
        <v>75061.797500000001</v>
      </c>
      <c r="D15" s="26">
        <f>IFERROR(AVERAGEIFS(d_Sal,d_ID,"&lt;&gt;",d_Dept,fDept,d_Sat,"&gt;="&amp;fSatLo,d_Sat,"&lt;="&amp;fSatHi,d_Prom,"&gt;="&amp;fPromLo,d_Prom,"&lt;="&amp;fPromHi),0)</f>
        <v>75061.797500000001</v>
      </c>
    </row>
    <row r="16" spans="2:4" x14ac:dyDescent="0.25">
      <c r="B16" s="25" t="s">
        <v>913</v>
      </c>
      <c r="C16" s="34">
        <f>IFERROR(AVERAGEIFS(d_Sat,d_ID,"&lt;&gt;"),0)</f>
        <v>2.4962499999999999</v>
      </c>
      <c r="D16" s="34">
        <f>IFERROR(AVERAGEIFS(d_Sat,d_ID,"&lt;&gt;",d_Dept,fDept,d_Sat,"&gt;="&amp;fSatLo,d_Sat,"&lt;="&amp;fSatHi,d_Prom,"&gt;="&amp;fPromLo,d_Prom,"&lt;="&amp;fPromHi),0)</f>
        <v>2.4962499999999999</v>
      </c>
    </row>
    <row r="17" spans="2:13" x14ac:dyDescent="0.25">
      <c r="B17" s="25" t="s">
        <v>914</v>
      </c>
      <c r="C17" s="33">
        <f>IFERROR(COUNTIFS(d_ID,"&lt;&gt;",d_Prom,1)/C12,0)</f>
        <v>0.32624999999999998</v>
      </c>
      <c r="D17" s="33">
        <f>IFERROR(COUNTIFS(d_ID,"&lt;&gt;",d_Prom,1,d_Dept,fDept,d_Sat,"&gt;="&amp;fSatLo,d_Sat,"&lt;="&amp;fSatHi,d_Prom,"&gt;="&amp;fPromLo,d_Prom,"&lt;="&amp;fPromHi)/D12,0)</f>
        <v>0.32624999999999998</v>
      </c>
    </row>
    <row r="18" spans="2:13" x14ac:dyDescent="0.25">
      <c r="B18" s="25" t="s">
        <v>54</v>
      </c>
      <c r="C18" s="35">
        <f>IFERROR(AVERAGEIFS(d_Ten,d_ID,"&lt;&gt;"),0)</f>
        <v>9.7675000000000001</v>
      </c>
      <c r="D18" s="35">
        <f>IFERROR(AVERAGEIFS(d_Ten,d_ID,"&lt;&gt;",d_Dept,fDept,d_Sat,"&gt;="&amp;fSatLo,d_Sat,"&lt;="&amp;fSatHi,d_Prom,"&gt;="&amp;fPromLo,d_Prom,"&lt;="&amp;fPromHi),0)</f>
        <v>9.7675000000000001</v>
      </c>
    </row>
    <row r="23" spans="2:13" x14ac:dyDescent="0.25">
      <c r="B23" s="29" t="s">
        <v>915</v>
      </c>
    </row>
    <row r="24" spans="2:13" x14ac:dyDescent="0.25">
      <c r="B24" s="31" t="s">
        <v>26</v>
      </c>
      <c r="C24" s="31" t="s">
        <v>48</v>
      </c>
      <c r="D24" s="31" t="s">
        <v>49</v>
      </c>
      <c r="E24" s="31" t="s">
        <v>50</v>
      </c>
      <c r="F24" s="31" t="s">
        <v>51</v>
      </c>
      <c r="G24" s="31" t="s">
        <v>52</v>
      </c>
      <c r="H24" s="31" t="s">
        <v>53</v>
      </c>
      <c r="I24" s="31" t="s">
        <v>916</v>
      </c>
      <c r="J24" s="31" t="s">
        <v>917</v>
      </c>
      <c r="K24" s="31" t="s">
        <v>918</v>
      </c>
      <c r="L24" s="31" t="s">
        <v>919</v>
      </c>
      <c r="M24" s="31" t="s">
        <v>920</v>
      </c>
    </row>
    <row r="25" spans="2:13" x14ac:dyDescent="0.25">
      <c r="B25" s="25" t="str">
        <f>IF(Settings!B7="","",Settings!B7)</f>
        <v>Finance</v>
      </c>
      <c r="C25" s="32">
        <f t="shared" ref="C25:C32" si="0">IF($B25="","",COUNTIFS(d_ID,"&lt;&gt;",d_Dept,$B25,d_Sat,"&gt;="&amp;fSatLo,d_Sat,"&lt;="&amp;fSatHi,d_Prom,"&gt;="&amp;fPromLo,d_Prom,"&lt;="&amp;fPromHi))</f>
        <v>170</v>
      </c>
      <c r="D25" s="32">
        <f t="shared" ref="D25:D32" si="1">IF($B25="","",COUNTIFS(d_ID,"&lt;&gt;",d_Dept,$B25,d_Sat,"&gt;="&amp;fSatLo,d_Sat,"&lt;="&amp;fSatHi,d_Prom,"&gt;="&amp;fPromLo,d_Prom,"&lt;="&amp;fPromHi,d_Att,"Yes"))</f>
        <v>39</v>
      </c>
      <c r="E25" s="33">
        <f t="shared" ref="E25:E32" si="2">IF($B25="","",IFERROR(D25/C25,0))</f>
        <v>0.22941176470588234</v>
      </c>
      <c r="F25" s="26">
        <f t="shared" ref="F25:F32" si="3">IF($B25="","",IFERROR(AVERAGEIFS(d_Sal,d_ID,"&lt;&gt;",d_Dept,$B25,d_Sat,"&gt;="&amp;fSatLo,d_Sat,"&lt;="&amp;fSatHi,d_Prom,"&gt;="&amp;fPromLo,d_Prom,"&lt;="&amp;fPromHi),0))</f>
        <v>74193.429411764708</v>
      </c>
      <c r="G25" s="34">
        <f t="shared" ref="G25:G32" si="4">IF($B25="","",IFERROR(AVERAGEIFS(d_Sat,d_ID,"&lt;&gt;",d_Dept,$B25,d_Sat,"&gt;="&amp;fSatLo,d_Sat,"&lt;="&amp;fSatHi,d_Prom,"&gt;="&amp;fPromLo,d_Prom,"&lt;="&amp;fPromHi),0))</f>
        <v>2.5352941176470587</v>
      </c>
      <c r="H25" s="33">
        <f t="shared" ref="H25:H32" si="5">IF($B25="","",IFERROR(COUNTIFS(d_ID,"&lt;&gt;",d_Dept,$B25,d_Prom,1,d_Sat,"&gt;="&amp;fSatLo,d_Sat,"&lt;="&amp;fSatHi,d_Prom,"&gt;="&amp;fPromLo,d_Prom,"&lt;="&amp;fPromHi)/C25,0))</f>
        <v>0.34705882352941175</v>
      </c>
      <c r="I25" s="35">
        <f t="shared" ref="I25:I32" si="6">IF($B25="","",IFERROR(AVERAGEIFS(d_Ten,d_ID,"&lt;&gt;",d_Dept,$B25,d_Sat,"&gt;="&amp;fSatLo,d_Sat,"&lt;="&amp;fSatHi,d_Prom,"&gt;="&amp;fPromLo,d_Prom,"&lt;="&amp;fPromHi),0))</f>
        <v>8.6941176470588228</v>
      </c>
      <c r="J25" s="32">
        <f t="shared" ref="J25:J32" si="7">IF($B25="",0,COUNTIFS(d_ID,"&lt;&gt;",d_Dept,$B25))</f>
        <v>170</v>
      </c>
      <c r="K25" s="25">
        <f t="shared" ref="K25:L32" si="8">IF($B25="","",E25+ROW()/10^9)</f>
        <v>0.22941178970588233</v>
      </c>
      <c r="L25" s="36">
        <f t="shared" si="8"/>
        <v>74193.429411789708</v>
      </c>
      <c r="M25" s="25">
        <f t="shared" ref="M25:M32" si="9">IF($B25="","",H25+ROW()/10^9)</f>
        <v>0.34705884852941177</v>
      </c>
    </row>
    <row r="26" spans="2:13" x14ac:dyDescent="0.25">
      <c r="B26" s="25" t="str">
        <f>IF(Settings!B8="","",Settings!B8)</f>
        <v>HR</v>
      </c>
      <c r="C26" s="32">
        <f t="shared" si="0"/>
        <v>174</v>
      </c>
      <c r="D26" s="32">
        <f t="shared" si="1"/>
        <v>31</v>
      </c>
      <c r="E26" s="33">
        <f t="shared" si="2"/>
        <v>0.17816091954022989</v>
      </c>
      <c r="F26" s="26">
        <f t="shared" si="3"/>
        <v>73784.241379310348</v>
      </c>
      <c r="G26" s="34">
        <f t="shared" si="4"/>
        <v>2.5517241379310347</v>
      </c>
      <c r="H26" s="33">
        <f t="shared" si="5"/>
        <v>0.3045977011494253</v>
      </c>
      <c r="I26" s="35">
        <f t="shared" si="6"/>
        <v>9.4770114942528743</v>
      </c>
      <c r="J26" s="32">
        <f t="shared" si="7"/>
        <v>174</v>
      </c>
      <c r="K26" s="25">
        <f t="shared" si="8"/>
        <v>0.17816094554022988</v>
      </c>
      <c r="L26" s="36">
        <f t="shared" si="8"/>
        <v>73784.241379336352</v>
      </c>
      <c r="M26" s="25">
        <f t="shared" si="9"/>
        <v>0.30459772714942529</v>
      </c>
    </row>
    <row r="27" spans="2:13" x14ac:dyDescent="0.25">
      <c r="B27" s="25" t="str">
        <f>IF(Settings!B9="","",Settings!B9)</f>
        <v>IT</v>
      </c>
      <c r="C27" s="32">
        <f t="shared" si="0"/>
        <v>159</v>
      </c>
      <c r="D27" s="32">
        <f t="shared" si="1"/>
        <v>21</v>
      </c>
      <c r="E27" s="33">
        <f t="shared" si="2"/>
        <v>0.13207547169811321</v>
      </c>
      <c r="F27" s="26">
        <f t="shared" si="3"/>
        <v>77438.679245283012</v>
      </c>
      <c r="G27" s="34">
        <f t="shared" si="4"/>
        <v>2.4779874213836477</v>
      </c>
      <c r="H27" s="33">
        <f t="shared" si="5"/>
        <v>0.36477987421383645</v>
      </c>
      <c r="I27" s="35">
        <f t="shared" si="6"/>
        <v>10.188679245283019</v>
      </c>
      <c r="J27" s="32">
        <f t="shared" si="7"/>
        <v>159</v>
      </c>
      <c r="K27" s="25">
        <f t="shared" si="8"/>
        <v>0.13207549869811322</v>
      </c>
      <c r="L27" s="36">
        <f t="shared" si="8"/>
        <v>77438.679245310006</v>
      </c>
      <c r="M27" s="25">
        <f t="shared" si="9"/>
        <v>0.36477990121383647</v>
      </c>
    </row>
    <row r="28" spans="2:13" x14ac:dyDescent="0.25">
      <c r="B28" s="25" t="str">
        <f>IF(Settings!B10="","",Settings!B10)</f>
        <v>Operations</v>
      </c>
      <c r="C28" s="32">
        <f t="shared" si="0"/>
        <v>142</v>
      </c>
      <c r="D28" s="32">
        <f t="shared" si="1"/>
        <v>23</v>
      </c>
      <c r="E28" s="33">
        <f t="shared" si="2"/>
        <v>0.1619718309859155</v>
      </c>
      <c r="F28" s="26">
        <f t="shared" si="3"/>
        <v>75429.457746478874</v>
      </c>
      <c r="G28" s="34">
        <f t="shared" si="4"/>
        <v>2.3943661971830985</v>
      </c>
      <c r="H28" s="33">
        <f t="shared" si="5"/>
        <v>0.30985915492957744</v>
      </c>
      <c r="I28" s="35">
        <f t="shared" si="6"/>
        <v>10.112676056338028</v>
      </c>
      <c r="J28" s="32">
        <f t="shared" si="7"/>
        <v>142</v>
      </c>
      <c r="K28" s="25">
        <f t="shared" si="8"/>
        <v>0.16197185898591551</v>
      </c>
      <c r="L28" s="36">
        <f t="shared" si="8"/>
        <v>75429.457746506872</v>
      </c>
      <c r="M28" s="25">
        <f t="shared" si="9"/>
        <v>0.30985918292957743</v>
      </c>
    </row>
    <row r="29" spans="2:13" x14ac:dyDescent="0.25">
      <c r="B29" s="25" t="str">
        <f>IF(Settings!B11="","",Settings!B11)</f>
        <v>Sales</v>
      </c>
      <c r="C29" s="32">
        <f t="shared" si="0"/>
        <v>155</v>
      </c>
      <c r="D29" s="32">
        <f t="shared" si="1"/>
        <v>32</v>
      </c>
      <c r="E29" s="33">
        <f t="shared" si="2"/>
        <v>0.20645161290322581</v>
      </c>
      <c r="F29" s="26">
        <f t="shared" si="3"/>
        <v>74673.316129032261</v>
      </c>
      <c r="G29" s="34">
        <f t="shared" si="4"/>
        <v>2.5032258064516131</v>
      </c>
      <c r="H29" s="33">
        <f t="shared" si="5"/>
        <v>0.3032258064516129</v>
      </c>
      <c r="I29" s="35">
        <f t="shared" si="6"/>
        <v>10.522580645161291</v>
      </c>
      <c r="J29" s="32">
        <f t="shared" si="7"/>
        <v>155</v>
      </c>
      <c r="K29" s="25">
        <f t="shared" si="8"/>
        <v>0.20645164190322582</v>
      </c>
      <c r="L29" s="36">
        <f t="shared" si="8"/>
        <v>74673.316129061262</v>
      </c>
      <c r="M29" s="25">
        <f t="shared" si="9"/>
        <v>0.30322583545161291</v>
      </c>
    </row>
    <row r="30" spans="2:13" x14ac:dyDescent="0.25">
      <c r="B30" s="25" t="str">
        <f>IF(Settings!B12="","",Settings!B12)</f>
        <v/>
      </c>
      <c r="C30" s="32" t="str">
        <f t="shared" si="0"/>
        <v/>
      </c>
      <c r="D30" s="32" t="str">
        <f t="shared" si="1"/>
        <v/>
      </c>
      <c r="E30" s="33" t="str">
        <f t="shared" si="2"/>
        <v/>
      </c>
      <c r="F30" s="26" t="str">
        <f t="shared" si="3"/>
        <v/>
      </c>
      <c r="G30" s="34" t="str">
        <f t="shared" si="4"/>
        <v/>
      </c>
      <c r="H30" s="33" t="str">
        <f t="shared" si="5"/>
        <v/>
      </c>
      <c r="I30" s="35" t="str">
        <f t="shared" si="6"/>
        <v/>
      </c>
      <c r="J30" s="32">
        <f t="shared" si="7"/>
        <v>0</v>
      </c>
      <c r="K30" s="25" t="str">
        <f t="shared" si="8"/>
        <v/>
      </c>
      <c r="L30" s="25" t="str">
        <f t="shared" si="8"/>
        <v/>
      </c>
      <c r="M30" s="25" t="str">
        <f t="shared" si="9"/>
        <v/>
      </c>
    </row>
    <row r="31" spans="2:13" x14ac:dyDescent="0.25">
      <c r="B31" s="25" t="str">
        <f>IF(Settings!B13="","",Settings!B13)</f>
        <v/>
      </c>
      <c r="C31" s="32" t="str">
        <f t="shared" si="0"/>
        <v/>
      </c>
      <c r="D31" s="32" t="str">
        <f t="shared" si="1"/>
        <v/>
      </c>
      <c r="E31" s="33" t="str">
        <f t="shared" si="2"/>
        <v/>
      </c>
      <c r="F31" s="26" t="str">
        <f t="shared" si="3"/>
        <v/>
      </c>
      <c r="G31" s="34" t="str">
        <f t="shared" si="4"/>
        <v/>
      </c>
      <c r="H31" s="33" t="str">
        <f t="shared" si="5"/>
        <v/>
      </c>
      <c r="I31" s="35" t="str">
        <f t="shared" si="6"/>
        <v/>
      </c>
      <c r="J31" s="32">
        <f t="shared" si="7"/>
        <v>0</v>
      </c>
      <c r="K31" s="25" t="str">
        <f t="shared" si="8"/>
        <v/>
      </c>
      <c r="L31" s="25" t="str">
        <f t="shared" si="8"/>
        <v/>
      </c>
      <c r="M31" s="25" t="str">
        <f t="shared" si="9"/>
        <v/>
      </c>
    </row>
    <row r="32" spans="2:13" x14ac:dyDescent="0.25">
      <c r="B32" s="25" t="str">
        <f>IF(Settings!B14="","",Settings!B14)</f>
        <v/>
      </c>
      <c r="C32" s="32" t="str">
        <f t="shared" si="0"/>
        <v/>
      </c>
      <c r="D32" s="32" t="str">
        <f t="shared" si="1"/>
        <v/>
      </c>
      <c r="E32" s="33" t="str">
        <f t="shared" si="2"/>
        <v/>
      </c>
      <c r="F32" s="26" t="str">
        <f t="shared" si="3"/>
        <v/>
      </c>
      <c r="G32" s="34" t="str">
        <f t="shared" si="4"/>
        <v/>
      </c>
      <c r="H32" s="33" t="str">
        <f t="shared" si="5"/>
        <v/>
      </c>
      <c r="I32" s="35" t="str">
        <f t="shared" si="6"/>
        <v/>
      </c>
      <c r="J32" s="32">
        <f t="shared" si="7"/>
        <v>0</v>
      </c>
      <c r="K32" s="25" t="str">
        <f t="shared" si="8"/>
        <v/>
      </c>
      <c r="L32" s="25" t="str">
        <f t="shared" si="8"/>
        <v/>
      </c>
      <c r="M32" s="25" t="str">
        <f t="shared" si="9"/>
        <v/>
      </c>
    </row>
    <row r="33" spans="2:13" x14ac:dyDescent="0.25">
      <c r="B33" s="37" t="s">
        <v>921</v>
      </c>
      <c r="C33" s="32">
        <f>COUNTIFS(d_ID,"&lt;&gt;",d_Sat,"&gt;="&amp;fSatLo,d_Sat,"&lt;="&amp;fSatHi,d_Prom,"&gt;="&amp;fPromLo,d_Prom,"&lt;="&amp;fPromHi)</f>
        <v>800</v>
      </c>
      <c r="D33" s="32">
        <f>COUNTIFS(d_ID,"&lt;&gt;",d_Sat,"&gt;="&amp;fSatLo,d_Sat,"&lt;="&amp;fSatHi,d_Prom,"&gt;="&amp;fPromLo,d_Prom,"&lt;="&amp;fPromHi,d_Att,"Yes")</f>
        <v>146</v>
      </c>
      <c r="E33" s="33">
        <f>IFERROR(D33/C33,0)</f>
        <v>0.1825</v>
      </c>
      <c r="F33" s="26">
        <f>IFERROR(AVERAGEIFS(d_Sal,d_ID,"&lt;&gt;",d_Sat,"&gt;="&amp;fSatLo,d_Sat,"&lt;="&amp;fSatHi,d_Prom,"&gt;="&amp;fPromLo,d_Prom,"&lt;="&amp;fPromHi),0)</f>
        <v>75061.797500000001</v>
      </c>
      <c r="G33" s="34">
        <f>IFERROR(AVERAGEIFS(d_Sat,d_ID,"&lt;&gt;",d_Sat,"&gt;="&amp;fSatLo,d_Sat,"&lt;="&amp;fSatHi,d_Prom,"&gt;="&amp;fPromLo,d_Prom,"&lt;="&amp;fPromHi),0)</f>
        <v>2.4962499999999999</v>
      </c>
      <c r="H33" s="33">
        <f>IFERROR(COUNTIFS(d_ID,"&lt;&gt;",d_Prom,1,d_Sat,"&gt;="&amp;fSatLo,d_Sat,"&lt;="&amp;fSatHi,d_Prom,"&gt;="&amp;fPromLo,d_Prom,"&lt;="&amp;fPromHi)/C33,0)</f>
        <v>0.32624999999999998</v>
      </c>
      <c r="I33" s="35">
        <f>IFERROR(AVERAGEIFS(d_Ten,d_ID,"&lt;&gt;",d_Sat,"&gt;="&amp;fSatLo,d_Sat,"&lt;="&amp;fSatHi,d_Prom,"&gt;="&amp;fPromLo,d_Prom,"&lt;="&amp;fPromHi),0)</f>
        <v>9.7675000000000001</v>
      </c>
    </row>
    <row r="34" spans="2:13" x14ac:dyDescent="0.25">
      <c r="B34" s="25" t="s">
        <v>922</v>
      </c>
      <c r="C34" s="32">
        <f>COUNTIF(B25:B32,"?*")</f>
        <v>5</v>
      </c>
    </row>
    <row r="36" spans="2:13" x14ac:dyDescent="0.25">
      <c r="B36" s="29" t="s">
        <v>923</v>
      </c>
    </row>
    <row r="37" spans="2:13" x14ac:dyDescent="0.25">
      <c r="B37" s="31" t="s">
        <v>924</v>
      </c>
      <c r="C37" s="31" t="s">
        <v>925</v>
      </c>
      <c r="D37" s="31" t="s">
        <v>926</v>
      </c>
      <c r="E37" s="31" t="s">
        <v>50</v>
      </c>
      <c r="G37" s="31" t="s">
        <v>925</v>
      </c>
      <c r="H37" s="31" t="s">
        <v>927</v>
      </c>
      <c r="I37" s="31" t="s">
        <v>51</v>
      </c>
      <c r="K37" s="31" t="s">
        <v>925</v>
      </c>
      <c r="L37" s="31" t="s">
        <v>928</v>
      </c>
      <c r="M37" s="31" t="s">
        <v>53</v>
      </c>
    </row>
    <row r="38" spans="2:13" x14ac:dyDescent="0.25">
      <c r="B38" s="25">
        <v>1</v>
      </c>
      <c r="C38" s="25">
        <f t="shared" ref="C38:C42" si="10">IF($B38&gt;$C$34,"",MATCH(LARGE($K$25:$K$32,$B38),$K$25:$K$32,0))</f>
        <v>1</v>
      </c>
      <c r="D38" s="25" t="str">
        <f t="shared" ref="D38:D45" si="11">IF(C38="","",INDEX($B$25:$B$32,C38))</f>
        <v>Finance</v>
      </c>
      <c r="E38" s="33">
        <f t="shared" ref="E38:E45" si="12">IF(C38="","",INDEX($E$25:$E$32,C38))</f>
        <v>0.22941176470588234</v>
      </c>
      <c r="G38" s="25">
        <f t="shared" ref="G38:G42" si="13">IF($B38&gt;$C$34,"",MATCH(LARGE($L$25:$L$32,$B38),$L$25:$L$32,0))</f>
        <v>3</v>
      </c>
      <c r="H38" s="25" t="str">
        <f t="shared" ref="H38:H45" si="14">IF(G38="","",INDEX($B$25:$B$32,G38))</f>
        <v>IT</v>
      </c>
      <c r="I38" s="26">
        <f t="shared" ref="I38:I45" si="15">IF(G38="","",INDEX($F$25:$F$32,G38))</f>
        <v>77438.679245283012</v>
      </c>
      <c r="K38" s="25">
        <f t="shared" ref="K38:K42" si="16">IF($B38&gt;$C$34,"",MATCH(LARGE($M$25:$M$32,$B38),$M$25:$M$32,0))</f>
        <v>3</v>
      </c>
      <c r="L38" s="25" t="str">
        <f t="shared" ref="L38:L45" si="17">IF(K38="","",INDEX($B$25:$B$32,K38))</f>
        <v>IT</v>
      </c>
      <c r="M38" s="33">
        <f t="shared" ref="M38:M45" si="18">IF(K38="","",INDEX($H$25:$H$32,K38))</f>
        <v>0.36477987421383645</v>
      </c>
    </row>
    <row r="39" spans="2:13" x14ac:dyDescent="0.25">
      <c r="B39" s="25">
        <v>2</v>
      </c>
      <c r="C39" s="25">
        <f t="shared" si="10"/>
        <v>5</v>
      </c>
      <c r="D39" s="25" t="str">
        <f t="shared" si="11"/>
        <v>Sales</v>
      </c>
      <c r="E39" s="33">
        <f t="shared" si="12"/>
        <v>0.20645161290322581</v>
      </c>
      <c r="G39" s="25">
        <f t="shared" si="13"/>
        <v>4</v>
      </c>
      <c r="H39" s="25" t="str">
        <f t="shared" si="14"/>
        <v>Operations</v>
      </c>
      <c r="I39" s="26">
        <f t="shared" si="15"/>
        <v>75429.457746478874</v>
      </c>
      <c r="K39" s="25">
        <f t="shared" si="16"/>
        <v>1</v>
      </c>
      <c r="L39" s="25" t="str">
        <f t="shared" si="17"/>
        <v>Finance</v>
      </c>
      <c r="M39" s="33">
        <f t="shared" si="18"/>
        <v>0.34705882352941175</v>
      </c>
    </row>
    <row r="40" spans="2:13" x14ac:dyDescent="0.25">
      <c r="B40" s="25">
        <v>3</v>
      </c>
      <c r="C40" s="25">
        <f t="shared" si="10"/>
        <v>2</v>
      </c>
      <c r="D40" s="25" t="str">
        <f t="shared" si="11"/>
        <v>HR</v>
      </c>
      <c r="E40" s="33">
        <f t="shared" si="12"/>
        <v>0.17816091954022989</v>
      </c>
      <c r="G40" s="25">
        <f t="shared" si="13"/>
        <v>5</v>
      </c>
      <c r="H40" s="25" t="str">
        <f t="shared" si="14"/>
        <v>Sales</v>
      </c>
      <c r="I40" s="26">
        <f t="shared" si="15"/>
        <v>74673.316129032261</v>
      </c>
      <c r="K40" s="25">
        <f t="shared" si="16"/>
        <v>4</v>
      </c>
      <c r="L40" s="25" t="str">
        <f t="shared" si="17"/>
        <v>Operations</v>
      </c>
      <c r="M40" s="33">
        <f t="shared" si="18"/>
        <v>0.30985915492957744</v>
      </c>
    </row>
    <row r="41" spans="2:13" x14ac:dyDescent="0.25">
      <c r="B41" s="25">
        <v>4</v>
      </c>
      <c r="C41" s="25">
        <f t="shared" si="10"/>
        <v>4</v>
      </c>
      <c r="D41" s="25" t="str">
        <f t="shared" si="11"/>
        <v>Operations</v>
      </c>
      <c r="E41" s="33">
        <f t="shared" si="12"/>
        <v>0.1619718309859155</v>
      </c>
      <c r="G41" s="25">
        <f t="shared" si="13"/>
        <v>1</v>
      </c>
      <c r="H41" s="25" t="str">
        <f t="shared" si="14"/>
        <v>Finance</v>
      </c>
      <c r="I41" s="26">
        <f t="shared" si="15"/>
        <v>74193.429411764708</v>
      </c>
      <c r="K41" s="25">
        <f t="shared" si="16"/>
        <v>2</v>
      </c>
      <c r="L41" s="25" t="str">
        <f t="shared" si="17"/>
        <v>HR</v>
      </c>
      <c r="M41" s="33">
        <f t="shared" si="18"/>
        <v>0.3045977011494253</v>
      </c>
    </row>
    <row r="42" spans="2:13" x14ac:dyDescent="0.25">
      <c r="B42" s="25">
        <v>5</v>
      </c>
      <c r="C42" s="25">
        <f t="shared" si="10"/>
        <v>3</v>
      </c>
      <c r="D42" s="25" t="str">
        <f t="shared" si="11"/>
        <v>IT</v>
      </c>
      <c r="E42" s="33">
        <f t="shared" si="12"/>
        <v>0.13207547169811321</v>
      </c>
      <c r="G42" s="25">
        <f t="shared" si="13"/>
        <v>2</v>
      </c>
      <c r="H42" s="25" t="str">
        <f t="shared" si="14"/>
        <v>HR</v>
      </c>
      <c r="I42" s="26">
        <f t="shared" si="15"/>
        <v>73784.241379310348</v>
      </c>
      <c r="K42" s="25">
        <f t="shared" si="16"/>
        <v>5</v>
      </c>
      <c r="L42" s="25" t="str">
        <f t="shared" si="17"/>
        <v>Sales</v>
      </c>
      <c r="M42" s="33">
        <f t="shared" si="18"/>
        <v>0.3032258064516129</v>
      </c>
    </row>
    <row r="43" spans="2:13" x14ac:dyDescent="0.25">
      <c r="B43" s="25">
        <v>6</v>
      </c>
      <c r="C43" s="25" t="str">
        <f>IF($B43&gt;$C$34,"",MATCH(LARGE($K$25:$K$32,$B43),$K$25:$K$32,0))</f>
        <v/>
      </c>
      <c r="D43" s="25" t="str">
        <f t="shared" si="11"/>
        <v/>
      </c>
      <c r="E43" s="33" t="str">
        <f t="shared" si="12"/>
        <v/>
      </c>
      <c r="G43" s="25" t="str">
        <f>IF($B43&gt;$C$34,"",MATCH(LARGE($L$25:$L$32,$B43),$L$25:$L$32,0))</f>
        <v/>
      </c>
      <c r="H43" s="25" t="str">
        <f t="shared" si="14"/>
        <v/>
      </c>
      <c r="I43" s="26" t="str">
        <f t="shared" si="15"/>
        <v/>
      </c>
      <c r="K43" s="25" t="str">
        <f>IF($B43&gt;$C$34,"",MATCH(LARGE($M$25:$M$32,$B43),$M$25:$M$32,0))</f>
        <v/>
      </c>
      <c r="L43" s="25" t="str">
        <f t="shared" si="17"/>
        <v/>
      </c>
      <c r="M43" s="33" t="str">
        <f t="shared" si="18"/>
        <v/>
      </c>
    </row>
    <row r="44" spans="2:13" x14ac:dyDescent="0.25">
      <c r="B44" s="25">
        <v>7</v>
      </c>
      <c r="C44" s="25" t="str">
        <f>IF($B44&gt;$C$34,"",MATCH(LARGE($K$25:$K$32,$B44),$K$25:$K$32,0))</f>
        <v/>
      </c>
      <c r="D44" s="25" t="str">
        <f t="shared" si="11"/>
        <v/>
      </c>
      <c r="E44" s="33" t="str">
        <f t="shared" si="12"/>
        <v/>
      </c>
      <c r="G44" s="25" t="str">
        <f>IF($B44&gt;$C$34,"",MATCH(LARGE($L$25:$L$32,$B44),$L$25:$L$32,0))</f>
        <v/>
      </c>
      <c r="H44" s="25" t="str">
        <f t="shared" si="14"/>
        <v/>
      </c>
      <c r="I44" s="26" t="str">
        <f t="shared" si="15"/>
        <v/>
      </c>
      <c r="K44" s="25" t="str">
        <f>IF($B44&gt;$C$34,"",MATCH(LARGE($M$25:$M$32,$B44),$M$25:$M$32,0))</f>
        <v/>
      </c>
      <c r="L44" s="25" t="str">
        <f t="shared" si="17"/>
        <v/>
      </c>
      <c r="M44" s="33" t="str">
        <f t="shared" si="18"/>
        <v/>
      </c>
    </row>
    <row r="45" spans="2:13" x14ac:dyDescent="0.25">
      <c r="B45" s="25">
        <v>8</v>
      </c>
      <c r="C45" s="25" t="str">
        <f>IF($B45&gt;$C$34,"",MATCH(LARGE($K$25:$K$32,$B45),$K$25:$K$32,0))</f>
        <v/>
      </c>
      <c r="D45" s="25" t="str">
        <f t="shared" si="11"/>
        <v/>
      </c>
      <c r="E45" s="33" t="str">
        <f t="shared" si="12"/>
        <v/>
      </c>
      <c r="G45" s="25" t="str">
        <f>IF($B45&gt;$C$34,"",MATCH(LARGE($L$25:$L$32,$B45),$L$25:$L$32,0))</f>
        <v/>
      </c>
      <c r="H45" s="25" t="str">
        <f t="shared" si="14"/>
        <v/>
      </c>
      <c r="I45" s="26" t="str">
        <f t="shared" si="15"/>
        <v/>
      </c>
      <c r="K45" s="25" t="str">
        <f>IF($B45&gt;$C$34,"",MATCH(LARGE($M$25:$M$32,$B45),$M$25:$M$32,0))</f>
        <v/>
      </c>
      <c r="L45" s="25" t="str">
        <f t="shared" si="17"/>
        <v/>
      </c>
      <c r="M45" s="33" t="str">
        <f t="shared" si="18"/>
        <v/>
      </c>
    </row>
    <row r="48" spans="2:13" x14ac:dyDescent="0.25">
      <c r="B48" s="29" t="s">
        <v>929</v>
      </c>
    </row>
    <row r="49" spans="2:9" x14ac:dyDescent="0.25">
      <c r="B49" s="31" t="s">
        <v>930</v>
      </c>
      <c r="C49" s="31" t="s">
        <v>48</v>
      </c>
      <c r="D49" s="31" t="s">
        <v>49</v>
      </c>
      <c r="E49" s="31" t="s">
        <v>50</v>
      </c>
      <c r="F49" s="31" t="s">
        <v>51</v>
      </c>
      <c r="G49" s="31" t="s">
        <v>53</v>
      </c>
      <c r="H49" s="31" t="s">
        <v>931</v>
      </c>
    </row>
    <row r="50" spans="2:9" x14ac:dyDescent="0.25">
      <c r="B50" s="25">
        <f>Settings!D7</f>
        <v>1</v>
      </c>
      <c r="C50" s="32">
        <f>COUNTIFS(d_ID,"&lt;&gt;",d_Sat,$B50,d_Dept,fDept,d_Prom,"&gt;="&amp;fPromLo,d_Prom,"&lt;="&amp;fPromHi)</f>
        <v>216</v>
      </c>
      <c r="D50" s="32">
        <f>COUNTIFS(d_ID,"&lt;&gt;",d_Sat,$B50,d_Dept,fDept,d_Prom,"&gt;="&amp;fPromLo,d_Prom,"&lt;="&amp;fPromHi,d_Att,"Yes")</f>
        <v>42</v>
      </c>
      <c r="E50" s="33">
        <f>IFERROR(D50/C50,0)</f>
        <v>0.19444444444444445</v>
      </c>
      <c r="F50" s="26">
        <f>IFERROR(AVERAGEIFS(d_Sal,d_ID,"&lt;&gt;",d_Sat,$B50,d_Dept,fDept,d_Prom,"&gt;="&amp;fPromLo,d_Prom,"&lt;="&amp;fPromHi),0)</f>
        <v>76261.967592592599</v>
      </c>
      <c r="G50" s="33">
        <f>IFERROR(COUNTIFS(d_ID,"&lt;&gt;",d_Sat,$B50,d_Prom,1,d_Dept,fDept,d_Prom,"&gt;="&amp;fPromLo,d_Prom,"&lt;="&amp;fPromHi)/C50,0)</f>
        <v>0.33333333333333331</v>
      </c>
      <c r="H50" s="25" t="str">
        <f>"Rating "&amp;B50</f>
        <v>Rating 1</v>
      </c>
    </row>
    <row r="51" spans="2:9" x14ac:dyDescent="0.25">
      <c r="B51" s="25">
        <f>Settings!D8</f>
        <v>2</v>
      </c>
      <c r="C51" s="32">
        <f>COUNTIFS(d_ID,"&lt;&gt;",d_Sat,$B51,d_Dept,fDept,d_Prom,"&gt;="&amp;fPromLo,d_Prom,"&lt;="&amp;fPromHi)</f>
        <v>182</v>
      </c>
      <c r="D51" s="32">
        <f>COUNTIFS(d_ID,"&lt;&gt;",d_Sat,$B51,d_Dept,fDept,d_Prom,"&gt;="&amp;fPromLo,d_Prom,"&lt;="&amp;fPromHi,d_Att,"Yes")</f>
        <v>31</v>
      </c>
      <c r="E51" s="33">
        <f>IFERROR(D51/C51,0)</f>
        <v>0.17032967032967034</v>
      </c>
      <c r="F51" s="26">
        <f>IFERROR(AVERAGEIFS(d_Sal,d_ID,"&lt;&gt;",d_Sat,$B51,d_Dept,fDept,d_Prom,"&gt;="&amp;fPromLo,d_Prom,"&lt;="&amp;fPromHi),0)</f>
        <v>77713.912087912089</v>
      </c>
      <c r="G51" s="33">
        <f>IFERROR(COUNTIFS(d_ID,"&lt;&gt;",d_Sat,$B51,d_Prom,1,d_Dept,fDept,d_Prom,"&gt;="&amp;fPromLo,d_Prom,"&lt;="&amp;fPromHi)/C51,0)</f>
        <v>0.32967032967032966</v>
      </c>
      <c r="H51" s="25" t="str">
        <f>"Rating "&amp;B51</f>
        <v>Rating 2</v>
      </c>
    </row>
    <row r="52" spans="2:9" x14ac:dyDescent="0.25">
      <c r="B52" s="25">
        <f>Settings!D9</f>
        <v>3</v>
      </c>
      <c r="C52" s="32">
        <f>COUNTIFS(d_ID,"&lt;&gt;",d_Sat,$B52,d_Dept,fDept,d_Prom,"&gt;="&amp;fPromLo,d_Prom,"&lt;="&amp;fPromHi)</f>
        <v>191</v>
      </c>
      <c r="D52" s="32">
        <f>COUNTIFS(d_ID,"&lt;&gt;",d_Sat,$B52,d_Dept,fDept,d_Prom,"&gt;="&amp;fPromLo,d_Prom,"&lt;="&amp;fPromHi,d_Att,"Yes")</f>
        <v>38</v>
      </c>
      <c r="E52" s="33">
        <f>IFERROR(D52/C52,0)</f>
        <v>0.19895287958115182</v>
      </c>
      <c r="F52" s="26">
        <f>IFERROR(AVERAGEIFS(d_Sal,d_ID,"&lt;&gt;",d_Sat,$B52,d_Dept,fDept,d_Prom,"&gt;="&amp;fPromLo,d_Prom,"&lt;="&amp;fPromHi),0)</f>
        <v>71878.031413612567</v>
      </c>
      <c r="G52" s="33">
        <f>IFERROR(COUNTIFS(d_ID,"&lt;&gt;",d_Sat,$B52,d_Prom,1,d_Dept,fDept,d_Prom,"&gt;="&amp;fPromLo,d_Prom,"&lt;="&amp;fPromHi)/C52,0)</f>
        <v>0.29319371727748689</v>
      </c>
      <c r="H52" s="25" t="str">
        <f>"Rating "&amp;B52</f>
        <v>Rating 3</v>
      </c>
    </row>
    <row r="53" spans="2:9" x14ac:dyDescent="0.25">
      <c r="B53" s="25">
        <f>Settings!D10</f>
        <v>4</v>
      </c>
      <c r="C53" s="32">
        <f>COUNTIFS(d_ID,"&lt;&gt;",d_Sat,$B53,d_Dept,fDept,d_Prom,"&gt;="&amp;fPromLo,d_Prom,"&lt;="&amp;fPromHi)</f>
        <v>211</v>
      </c>
      <c r="D53" s="32">
        <f>COUNTIFS(d_ID,"&lt;&gt;",d_Sat,$B53,d_Dept,fDept,d_Prom,"&gt;="&amp;fPromLo,d_Prom,"&lt;="&amp;fPromHi,d_Att,"Yes")</f>
        <v>35</v>
      </c>
      <c r="E53" s="33">
        <f>IFERROR(D53/C53,0)</f>
        <v>0.16587677725118483</v>
      </c>
      <c r="F53" s="26">
        <f>IFERROR(AVERAGEIFS(d_Sal,d_ID,"&lt;&gt;",d_Sat,$B53,d_Dept,fDept,d_Prom,"&gt;="&amp;fPromLo,d_Prom,"&lt;="&amp;fPromHi),0)</f>
        <v>74427.568720379146</v>
      </c>
      <c r="G53" s="33">
        <f>IFERROR(COUNTIFS(d_ID,"&lt;&gt;",d_Sat,$B53,d_Prom,1,d_Dept,fDept,d_Prom,"&gt;="&amp;fPromLo,d_Prom,"&lt;="&amp;fPromHi)/C53,0)</f>
        <v>0.34597156398104267</v>
      </c>
      <c r="H53" s="25" t="str">
        <f>"Rating "&amp;B53</f>
        <v>Rating 4</v>
      </c>
    </row>
    <row r="56" spans="2:9" x14ac:dyDescent="0.25">
      <c r="B56" s="29" t="s">
        <v>932</v>
      </c>
    </row>
    <row r="57" spans="2:9" x14ac:dyDescent="0.25">
      <c r="B57" s="31" t="s">
        <v>933</v>
      </c>
      <c r="C57" s="31" t="s">
        <v>879</v>
      </c>
      <c r="D57" s="31" t="s">
        <v>880</v>
      </c>
      <c r="E57" s="31" t="s">
        <v>48</v>
      </c>
      <c r="F57" s="31" t="s">
        <v>49</v>
      </c>
      <c r="G57" s="31" t="s">
        <v>50</v>
      </c>
      <c r="H57" s="31" t="s">
        <v>51</v>
      </c>
      <c r="I57" s="31" t="s">
        <v>53</v>
      </c>
    </row>
    <row r="58" spans="2:9" x14ac:dyDescent="0.25">
      <c r="B58" s="25" t="str">
        <f>Settings!H6</f>
        <v>0–2 yrs</v>
      </c>
      <c r="C58" s="25">
        <f>Settings!I6</f>
        <v>0</v>
      </c>
      <c r="D58" s="25">
        <f>Settings!J6</f>
        <v>2</v>
      </c>
      <c r="E58" s="32">
        <f>COUNTIFS(d_ID,"&lt;&gt;",d_Ten,"&gt;="&amp;$C58,d_Ten,"&lt;="&amp;$D58,d_Dept,fDept,d_Sat,"&gt;="&amp;fSatLo,d_Sat,"&lt;="&amp;fSatHi,d_Prom,"&gt;="&amp;fPromLo,d_Prom,"&lt;="&amp;fPromHi)</f>
        <v>121</v>
      </c>
      <c r="F58" s="32">
        <f>COUNTIFS(d_ID,"&lt;&gt;",d_Ten,"&gt;="&amp;$C58,d_Ten,"&lt;="&amp;$D58,d_Dept,fDept,d_Sat,"&gt;="&amp;fSatLo,d_Sat,"&lt;="&amp;fSatHi,d_Prom,"&gt;="&amp;fPromLo,d_Prom,"&lt;="&amp;fPromHi,d_Att,"Yes")</f>
        <v>21</v>
      </c>
      <c r="G58" s="33">
        <f>IFERROR(F58/E58,0)</f>
        <v>0.17355371900826447</v>
      </c>
      <c r="H58" s="26">
        <f>IFERROR(AVERAGEIFS(d_Sal,d_ID,"&lt;&gt;",d_Ten,"&gt;="&amp;$C58,d_Ten,"&lt;="&amp;$D58,d_Dept,fDept,d_Sat,"&gt;="&amp;fSatLo,d_Sat,"&lt;="&amp;fSatHi,d_Prom,"&gt;="&amp;fPromLo,d_Prom,"&lt;="&amp;fPromHi),0)</f>
        <v>73856.64462809918</v>
      </c>
      <c r="I58" s="33">
        <f>IFERROR(COUNTIFS(d_ID,"&lt;&gt;",d_Ten,"&gt;="&amp;$C58,d_Ten,"&lt;="&amp;$D58,d_Prom,1,d_Dept,fDept,d_Sat,"&gt;="&amp;fSatLo,d_Sat,"&lt;="&amp;fSatHi,d_Prom,"&gt;="&amp;fPromLo,d_Prom,"&lt;="&amp;fPromHi)/E58,0)</f>
        <v>0.33884297520661155</v>
      </c>
    </row>
    <row r="59" spans="2:9" x14ac:dyDescent="0.25">
      <c r="B59" s="25" t="str">
        <f>Settings!H7</f>
        <v>3–5 yrs</v>
      </c>
      <c r="C59" s="25">
        <f>Settings!I7</f>
        <v>3</v>
      </c>
      <c r="D59" s="25">
        <f>Settings!J7</f>
        <v>5</v>
      </c>
      <c r="E59" s="32">
        <f>COUNTIFS(d_ID,"&lt;&gt;",d_Ten,"&gt;="&amp;$C59,d_Ten,"&lt;="&amp;$D59,d_Dept,fDept,d_Sat,"&gt;="&amp;fSatLo,d_Sat,"&lt;="&amp;fSatHi,d_Prom,"&gt;="&amp;fPromLo,d_Prom,"&lt;="&amp;fPromHi)</f>
        <v>110</v>
      </c>
      <c r="F59" s="32">
        <f>COUNTIFS(d_ID,"&lt;&gt;",d_Ten,"&gt;="&amp;$C59,d_Ten,"&lt;="&amp;$D59,d_Dept,fDept,d_Sat,"&gt;="&amp;fSatLo,d_Sat,"&lt;="&amp;fSatHi,d_Prom,"&gt;="&amp;fPromLo,d_Prom,"&lt;="&amp;fPromHi,d_Att,"Yes")</f>
        <v>23</v>
      </c>
      <c r="G59" s="33">
        <f>IFERROR(F59/E59,0)</f>
        <v>0.20909090909090908</v>
      </c>
      <c r="H59" s="26">
        <f>IFERROR(AVERAGEIFS(d_Sal,d_ID,"&lt;&gt;",d_Ten,"&gt;="&amp;$C59,d_Ten,"&lt;="&amp;$D59,d_Dept,fDept,d_Sat,"&gt;="&amp;fSatLo,d_Sat,"&lt;="&amp;fSatHi,d_Prom,"&gt;="&amp;fPromLo,d_Prom,"&lt;="&amp;fPromHi),0)</f>
        <v>73606.909090909088</v>
      </c>
      <c r="I59" s="33">
        <f>IFERROR(COUNTIFS(d_ID,"&lt;&gt;",d_Ten,"&gt;="&amp;$C59,d_Ten,"&lt;="&amp;$D59,d_Prom,1,d_Dept,fDept,d_Sat,"&gt;="&amp;fSatLo,d_Sat,"&lt;="&amp;fSatHi,d_Prom,"&gt;="&amp;fPromLo,d_Prom,"&lt;="&amp;fPromHi)/E59,0)</f>
        <v>0.23636363636363636</v>
      </c>
    </row>
    <row r="60" spans="2:9" x14ac:dyDescent="0.25">
      <c r="B60" s="25" t="str">
        <f>Settings!H8</f>
        <v>6–10 yrs</v>
      </c>
      <c r="C60" s="25">
        <f>Settings!I8</f>
        <v>6</v>
      </c>
      <c r="D60" s="25">
        <f>Settings!J8</f>
        <v>10</v>
      </c>
      <c r="E60" s="32">
        <f>COUNTIFS(d_ID,"&lt;&gt;",d_Ten,"&gt;="&amp;$C60,d_Ten,"&lt;="&amp;$D60,d_Dept,fDept,d_Sat,"&gt;="&amp;fSatLo,d_Sat,"&lt;="&amp;fSatHi,d_Prom,"&gt;="&amp;fPromLo,d_Prom,"&lt;="&amp;fPromHi)</f>
        <v>186</v>
      </c>
      <c r="F60" s="32">
        <f>COUNTIFS(d_ID,"&lt;&gt;",d_Ten,"&gt;="&amp;$C60,d_Ten,"&lt;="&amp;$D60,d_Dept,fDept,d_Sat,"&gt;="&amp;fSatLo,d_Sat,"&lt;="&amp;fSatHi,d_Prom,"&gt;="&amp;fPromLo,d_Prom,"&lt;="&amp;fPromHi,d_Att,"Yes")</f>
        <v>37</v>
      </c>
      <c r="G60" s="33">
        <f>IFERROR(F60/E60,0)</f>
        <v>0.19892473118279569</v>
      </c>
      <c r="H60" s="26">
        <f>IFERROR(AVERAGEIFS(d_Sal,d_ID,"&lt;&gt;",d_Ten,"&gt;="&amp;$C60,d_Ten,"&lt;="&amp;$D60,d_Dept,fDept,d_Sat,"&gt;="&amp;fSatLo,d_Sat,"&lt;="&amp;fSatHi,d_Prom,"&gt;="&amp;fPromLo,d_Prom,"&lt;="&amp;fPromHi),0)</f>
        <v>74203.569892473111</v>
      </c>
      <c r="I60" s="33">
        <f>IFERROR(COUNTIFS(d_ID,"&lt;&gt;",d_Ten,"&gt;="&amp;$C60,d_Ten,"&lt;="&amp;$D60,d_Prom,1,d_Dept,fDept,d_Sat,"&gt;="&amp;fSatLo,d_Sat,"&lt;="&amp;fSatHi,d_Prom,"&gt;="&amp;fPromLo,d_Prom,"&lt;="&amp;fPromHi)/E60,0)</f>
        <v>0.31720430107526881</v>
      </c>
    </row>
    <row r="61" spans="2:9" x14ac:dyDescent="0.25">
      <c r="B61" s="25" t="str">
        <f>Settings!H9</f>
        <v>11–15 yrs</v>
      </c>
      <c r="C61" s="25">
        <f>Settings!I9</f>
        <v>11</v>
      </c>
      <c r="D61" s="25">
        <f>Settings!J9</f>
        <v>15</v>
      </c>
      <c r="E61" s="32">
        <f>COUNTIFS(d_ID,"&lt;&gt;",d_Ten,"&gt;="&amp;$C61,d_Ten,"&lt;="&amp;$D61,d_Dept,fDept,d_Sat,"&gt;="&amp;fSatLo,d_Sat,"&lt;="&amp;fSatHi,d_Prom,"&gt;="&amp;fPromLo,d_Prom,"&lt;="&amp;fPromHi)</f>
        <v>211</v>
      </c>
      <c r="F61" s="32">
        <f>COUNTIFS(d_ID,"&lt;&gt;",d_Ten,"&gt;="&amp;$C61,d_Ten,"&lt;="&amp;$D61,d_Dept,fDept,d_Sat,"&gt;="&amp;fSatLo,d_Sat,"&lt;="&amp;fSatHi,d_Prom,"&gt;="&amp;fPromLo,d_Prom,"&lt;="&amp;fPromHi,d_Att,"Yes")</f>
        <v>42</v>
      </c>
      <c r="G61" s="33">
        <f>IFERROR(F61/E61,0)</f>
        <v>0.1990521327014218</v>
      </c>
      <c r="H61" s="26">
        <f>IFERROR(AVERAGEIFS(d_Sal,d_ID,"&lt;&gt;",d_Ten,"&gt;="&amp;$C61,d_Ten,"&lt;="&amp;$D61,d_Dept,fDept,d_Sat,"&gt;="&amp;fSatLo,d_Sat,"&lt;="&amp;fSatHi,d_Prom,"&gt;="&amp;fPromLo,d_Prom,"&lt;="&amp;fPromHi),0)</f>
        <v>79338.317535545022</v>
      </c>
      <c r="I61" s="33">
        <f>IFERROR(COUNTIFS(d_ID,"&lt;&gt;",d_Ten,"&gt;="&amp;$C61,d_Ten,"&lt;="&amp;$D61,d_Prom,1,d_Dept,fDept,d_Sat,"&gt;="&amp;fSatLo,d_Sat,"&lt;="&amp;fSatHi,d_Prom,"&gt;="&amp;fPromLo,d_Prom,"&lt;="&amp;fPromHi)/E61,0)</f>
        <v>0.37440758293838861</v>
      </c>
    </row>
    <row r="62" spans="2:9" x14ac:dyDescent="0.25">
      <c r="B62" s="25" t="str">
        <f>Settings!H10</f>
        <v>16+ yrs</v>
      </c>
      <c r="C62" s="25">
        <f>Settings!I10</f>
        <v>16</v>
      </c>
      <c r="D62" s="25">
        <f>Settings!J10</f>
        <v>999</v>
      </c>
      <c r="E62" s="32">
        <f>COUNTIFS(d_ID,"&lt;&gt;",d_Ten,"&gt;="&amp;$C62,d_Ten,"&lt;="&amp;$D62,d_Dept,fDept,d_Sat,"&gt;="&amp;fSatLo,d_Sat,"&lt;="&amp;fSatHi,d_Prom,"&gt;="&amp;fPromLo,d_Prom,"&lt;="&amp;fPromHi)</f>
        <v>172</v>
      </c>
      <c r="F62" s="32">
        <f>COUNTIFS(d_ID,"&lt;&gt;",d_Ten,"&gt;="&amp;$C62,d_Ten,"&lt;="&amp;$D62,d_Dept,fDept,d_Sat,"&gt;="&amp;fSatLo,d_Sat,"&lt;="&amp;fSatHi,d_Prom,"&gt;="&amp;fPromLo,d_Prom,"&lt;="&amp;fPromHi,d_Att,"Yes")</f>
        <v>23</v>
      </c>
      <c r="G62" s="33">
        <f>IFERROR(F62/E62,0)</f>
        <v>0.13372093023255813</v>
      </c>
      <c r="H62" s="26">
        <f>IFERROR(AVERAGEIFS(d_Sal,d_ID,"&lt;&gt;",d_Ten,"&gt;="&amp;$C62,d_Ten,"&lt;="&amp;$D62,d_Dept,fDept,d_Sat,"&gt;="&amp;fSatLo,d_Sat,"&lt;="&amp;fSatHi,d_Prom,"&gt;="&amp;fPromLo,d_Prom,"&lt;="&amp;fPromHi),0)</f>
        <v>72521.94767441861</v>
      </c>
      <c r="I62" s="33">
        <f>IFERROR(COUNTIFS(d_ID,"&lt;&gt;",d_Ten,"&gt;="&amp;$C62,d_Ten,"&lt;="&amp;$D62,d_Prom,1,d_Dept,fDept,d_Sat,"&gt;="&amp;fSatLo,d_Sat,"&lt;="&amp;fSatHi,d_Prom,"&gt;="&amp;fPromLo,d_Prom,"&lt;="&amp;fPromHi)/E62,0)</f>
        <v>0.32558139534883723</v>
      </c>
    </row>
    <row r="65" spans="2:8" x14ac:dyDescent="0.25">
      <c r="B65" s="29" t="s">
        <v>934</v>
      </c>
    </row>
    <row r="66" spans="2:8" x14ac:dyDescent="0.25">
      <c r="B66" s="31" t="s">
        <v>933</v>
      </c>
      <c r="C66" s="31" t="s">
        <v>879</v>
      </c>
      <c r="D66" s="31" t="s">
        <v>880</v>
      </c>
      <c r="E66" s="31" t="s">
        <v>48</v>
      </c>
      <c r="F66" s="31" t="s">
        <v>49</v>
      </c>
      <c r="G66" s="31" t="s">
        <v>50</v>
      </c>
      <c r="H66" s="31" t="s">
        <v>51</v>
      </c>
    </row>
    <row r="67" spans="2:8" x14ac:dyDescent="0.25">
      <c r="B67" s="25" t="str">
        <f>Settings!L6</f>
        <v>Under 30</v>
      </c>
      <c r="C67" s="25">
        <f>Settings!M6</f>
        <v>0</v>
      </c>
      <c r="D67" s="25">
        <f>Settings!N6</f>
        <v>29</v>
      </c>
      <c r="E67" s="32">
        <f>COUNTIFS(d_ID,"&lt;&gt;",d_Age,"&gt;="&amp;$C67,d_Age,"&lt;="&amp;$D67,d_Dept,fDept,d_Sat,"&gt;="&amp;fSatLo,d_Sat,"&lt;="&amp;fSatHi,d_Prom,"&gt;="&amp;fPromLo,d_Prom,"&lt;="&amp;fPromHi)</f>
        <v>187</v>
      </c>
      <c r="F67" s="32">
        <f>COUNTIFS(d_ID,"&lt;&gt;",d_Age,"&gt;="&amp;$C67,d_Age,"&lt;="&amp;$D67,d_Dept,fDept,d_Sat,"&gt;="&amp;fSatLo,d_Sat,"&lt;="&amp;fSatHi,d_Prom,"&gt;="&amp;fPromLo,d_Prom,"&lt;="&amp;fPromHi,d_Att,"Yes")</f>
        <v>33</v>
      </c>
      <c r="G67" s="33">
        <f>IFERROR(F67/E67,0)</f>
        <v>0.17647058823529413</v>
      </c>
      <c r="H67" s="26">
        <f>IFERROR(AVERAGEIFS(d_Sal,d_ID,"&lt;&gt;",d_Age,"&gt;="&amp;$C67,d_Age,"&lt;="&amp;$D67,d_Dept,fDept,d_Sat,"&gt;="&amp;fSatLo,d_Sat,"&lt;="&amp;fSatHi,d_Prom,"&gt;="&amp;fPromLo,d_Prom,"&lt;="&amp;fPromHi),0)</f>
        <v>75962.919786096259</v>
      </c>
    </row>
    <row r="68" spans="2:8" x14ac:dyDescent="0.25">
      <c r="B68" s="25" t="str">
        <f>Settings!L7</f>
        <v>30–39</v>
      </c>
      <c r="C68" s="25">
        <f>Settings!M7</f>
        <v>30</v>
      </c>
      <c r="D68" s="25">
        <f>Settings!N7</f>
        <v>39</v>
      </c>
      <c r="E68" s="32">
        <f>COUNTIFS(d_ID,"&lt;&gt;",d_Age,"&gt;="&amp;$C68,d_Age,"&lt;="&amp;$D68,d_Dept,fDept,d_Sat,"&gt;="&amp;fSatLo,d_Sat,"&lt;="&amp;fSatHi,d_Prom,"&gt;="&amp;fPromLo,d_Prom,"&lt;="&amp;fPromHi)</f>
        <v>203</v>
      </c>
      <c r="F68" s="32">
        <f>COUNTIFS(d_ID,"&lt;&gt;",d_Age,"&gt;="&amp;$C68,d_Age,"&lt;="&amp;$D68,d_Dept,fDept,d_Sat,"&gt;="&amp;fSatLo,d_Sat,"&lt;="&amp;fSatHi,d_Prom,"&gt;="&amp;fPromLo,d_Prom,"&lt;="&amp;fPromHi,d_Att,"Yes")</f>
        <v>37</v>
      </c>
      <c r="G68" s="33">
        <f>IFERROR(F68/E68,0)</f>
        <v>0.18226600985221675</v>
      </c>
      <c r="H68" s="26">
        <f>IFERROR(AVERAGEIFS(d_Sal,d_ID,"&lt;&gt;",d_Age,"&gt;="&amp;$C68,d_Age,"&lt;="&amp;$D68,d_Dept,fDept,d_Sat,"&gt;="&amp;fSatLo,d_Sat,"&lt;="&amp;fSatHi,d_Prom,"&gt;="&amp;fPromLo,d_Prom,"&lt;="&amp;fPromHi),0)</f>
        <v>75110.921182266015</v>
      </c>
    </row>
    <row r="69" spans="2:8" x14ac:dyDescent="0.25">
      <c r="B69" s="25" t="str">
        <f>Settings!L8</f>
        <v>40–49</v>
      </c>
      <c r="C69" s="25">
        <f>Settings!M8</f>
        <v>40</v>
      </c>
      <c r="D69" s="25">
        <f>Settings!N8</f>
        <v>49</v>
      </c>
      <c r="E69" s="32">
        <f>COUNTIFS(d_ID,"&lt;&gt;",d_Age,"&gt;="&amp;$C69,d_Age,"&lt;="&amp;$D69,d_Dept,fDept,d_Sat,"&gt;="&amp;fSatLo,d_Sat,"&lt;="&amp;fSatHi,d_Prom,"&gt;="&amp;fPromLo,d_Prom,"&lt;="&amp;fPromHi)</f>
        <v>203</v>
      </c>
      <c r="F69" s="32">
        <f>COUNTIFS(d_ID,"&lt;&gt;",d_Age,"&gt;="&amp;$C69,d_Age,"&lt;="&amp;$D69,d_Dept,fDept,d_Sat,"&gt;="&amp;fSatLo,d_Sat,"&lt;="&amp;fSatHi,d_Prom,"&gt;="&amp;fPromLo,d_Prom,"&lt;="&amp;fPromHi,d_Att,"Yes")</f>
        <v>43</v>
      </c>
      <c r="G69" s="33">
        <f>IFERROR(F69/E69,0)</f>
        <v>0.21182266009852216</v>
      </c>
      <c r="H69" s="26">
        <f>IFERROR(AVERAGEIFS(d_Sal,d_ID,"&lt;&gt;",d_Age,"&gt;="&amp;$C69,d_Age,"&lt;="&amp;$D69,d_Dept,fDept,d_Sat,"&gt;="&amp;fSatLo,d_Sat,"&lt;="&amp;fSatHi,d_Prom,"&gt;="&amp;fPromLo,d_Prom,"&lt;="&amp;fPromHi),0)</f>
        <v>76303.669950738913</v>
      </c>
    </row>
    <row r="70" spans="2:8" x14ac:dyDescent="0.25">
      <c r="B70" s="25" t="str">
        <f>Settings!L9</f>
        <v>50+</v>
      </c>
      <c r="C70" s="25">
        <f>Settings!M9</f>
        <v>50</v>
      </c>
      <c r="D70" s="25">
        <f>Settings!N9</f>
        <v>999</v>
      </c>
      <c r="E70" s="32">
        <f>COUNTIFS(d_ID,"&lt;&gt;",d_Age,"&gt;="&amp;$C70,d_Age,"&lt;="&amp;$D70,d_Dept,fDept,d_Sat,"&gt;="&amp;fSatLo,d_Sat,"&lt;="&amp;fSatHi,d_Prom,"&gt;="&amp;fPromLo,d_Prom,"&lt;="&amp;fPromHi)</f>
        <v>207</v>
      </c>
      <c r="F70" s="32">
        <f>COUNTIFS(d_ID,"&lt;&gt;",d_Age,"&gt;="&amp;$C70,d_Age,"&lt;="&amp;$D70,d_Dept,fDept,d_Sat,"&gt;="&amp;fSatLo,d_Sat,"&lt;="&amp;fSatHi,d_Prom,"&gt;="&amp;fPromLo,d_Prom,"&lt;="&amp;fPromHi,d_Att,"Yes")</f>
        <v>33</v>
      </c>
      <c r="G70" s="33">
        <f>IFERROR(F70/E70,0)</f>
        <v>0.15942028985507245</v>
      </c>
      <c r="H70" s="26">
        <f>IFERROR(AVERAGEIFS(d_Sal,d_ID,"&lt;&gt;",d_Age,"&gt;="&amp;$C70,d_Age,"&lt;="&amp;$D70,d_Dept,fDept,d_Sat,"&gt;="&amp;fSatLo,d_Sat,"&lt;="&amp;fSatHi,d_Prom,"&gt;="&amp;fPromLo,d_Prom,"&lt;="&amp;fPromHi),0)</f>
        <v>72981.690821256037</v>
      </c>
    </row>
    <row r="73" spans="2:8" x14ac:dyDescent="0.25">
      <c r="B73" s="29" t="s">
        <v>935</v>
      </c>
    </row>
    <row r="74" spans="2:8" x14ac:dyDescent="0.25">
      <c r="B74" s="31" t="s">
        <v>933</v>
      </c>
      <c r="C74" s="31" t="s">
        <v>879</v>
      </c>
      <c r="D74" s="31" t="s">
        <v>880</v>
      </c>
      <c r="E74" s="31" t="s">
        <v>48</v>
      </c>
      <c r="F74" s="31" t="s">
        <v>49</v>
      </c>
      <c r="G74" s="31" t="s">
        <v>50</v>
      </c>
    </row>
    <row r="75" spans="2:8" x14ac:dyDescent="0.25">
      <c r="B75" s="25" t="str">
        <f>Settings!P6</f>
        <v>Under $50k</v>
      </c>
      <c r="C75" s="25">
        <f>Settings!Q6</f>
        <v>0</v>
      </c>
      <c r="D75" s="25">
        <f>Settings!R6</f>
        <v>49999</v>
      </c>
      <c r="E75" s="32">
        <f>COUNTIFS(d_ID,"&lt;&gt;",d_Sal,"&gt;="&amp;$C75,d_Sal,"&lt;="&amp;$D75,d_Dept,fDept,d_Sat,"&gt;="&amp;fSatLo,d_Sat,"&lt;="&amp;fSatHi,d_Prom,"&gt;="&amp;fPromLo,d_Prom,"&lt;="&amp;fPromHi)</f>
        <v>193</v>
      </c>
      <c r="F75" s="32">
        <f>COUNTIFS(d_ID,"&lt;&gt;",d_Sal,"&gt;="&amp;$C75,d_Sal,"&lt;="&amp;$D75,d_Dept,fDept,d_Sat,"&gt;="&amp;fSatLo,d_Sat,"&lt;="&amp;fSatHi,d_Prom,"&gt;="&amp;fPromLo,d_Prom,"&lt;="&amp;fPromHi,d_Att,"Yes")</f>
        <v>40</v>
      </c>
      <c r="G75" s="33">
        <f>IFERROR(F75/E75,0)</f>
        <v>0.20725388601036268</v>
      </c>
    </row>
    <row r="76" spans="2:8" x14ac:dyDescent="0.25">
      <c r="B76" s="25" t="str">
        <f>Settings!P7</f>
        <v>$50k–$70k</v>
      </c>
      <c r="C76" s="25">
        <f>Settings!Q7</f>
        <v>50000</v>
      </c>
      <c r="D76" s="25">
        <f>Settings!R7</f>
        <v>69999</v>
      </c>
      <c r="E76" s="32">
        <f>COUNTIFS(d_ID,"&lt;&gt;",d_Sal,"&gt;="&amp;$C76,d_Sal,"&lt;="&amp;$D76,d_Dept,fDept,d_Sat,"&gt;="&amp;fSatLo,d_Sat,"&lt;="&amp;fSatHi,d_Prom,"&gt;="&amp;fPromLo,d_Prom,"&lt;="&amp;fPromHi)</f>
        <v>177</v>
      </c>
      <c r="F76" s="32">
        <f>COUNTIFS(d_ID,"&lt;&gt;",d_Sal,"&gt;="&amp;$C76,d_Sal,"&lt;="&amp;$D76,d_Dept,fDept,d_Sat,"&gt;="&amp;fSatLo,d_Sat,"&lt;="&amp;fSatHi,d_Prom,"&gt;="&amp;fPromLo,d_Prom,"&lt;="&amp;fPromHi,d_Att,"Yes")</f>
        <v>27</v>
      </c>
      <c r="G76" s="33">
        <f>IFERROR(F76/E76,0)</f>
        <v>0.15254237288135594</v>
      </c>
    </row>
    <row r="77" spans="2:8" x14ac:dyDescent="0.25">
      <c r="B77" s="25" t="str">
        <f>Settings!P8</f>
        <v>$70k–$90k</v>
      </c>
      <c r="C77" s="25">
        <f>Settings!Q8</f>
        <v>70000</v>
      </c>
      <c r="D77" s="25">
        <f>Settings!R8</f>
        <v>89999</v>
      </c>
      <c r="E77" s="32">
        <f>COUNTIFS(d_ID,"&lt;&gt;",d_Sal,"&gt;="&amp;$C77,d_Sal,"&lt;="&amp;$D77,d_Dept,fDept,d_Sat,"&gt;="&amp;fSatLo,d_Sat,"&lt;="&amp;fSatHi,d_Prom,"&gt;="&amp;fPromLo,d_Prom,"&lt;="&amp;fPromHi)</f>
        <v>150</v>
      </c>
      <c r="F77" s="32">
        <f>COUNTIFS(d_ID,"&lt;&gt;",d_Sal,"&gt;="&amp;$C77,d_Sal,"&lt;="&amp;$D77,d_Dept,fDept,d_Sat,"&gt;="&amp;fSatLo,d_Sat,"&lt;="&amp;fSatHi,d_Prom,"&gt;="&amp;fPromLo,d_Prom,"&lt;="&amp;fPromHi,d_Att,"Yes")</f>
        <v>23</v>
      </c>
      <c r="G77" s="33">
        <f>IFERROR(F77/E77,0)</f>
        <v>0.15333333333333332</v>
      </c>
    </row>
    <row r="78" spans="2:8" x14ac:dyDescent="0.25">
      <c r="B78" s="25" t="str">
        <f>Settings!P9</f>
        <v>$90k–$110k</v>
      </c>
      <c r="C78" s="25">
        <f>Settings!Q9</f>
        <v>90000</v>
      </c>
      <c r="D78" s="25">
        <f>Settings!R9</f>
        <v>109999</v>
      </c>
      <c r="E78" s="32">
        <f>COUNTIFS(d_ID,"&lt;&gt;",d_Sal,"&gt;="&amp;$C78,d_Sal,"&lt;="&amp;$D78,d_Dept,fDept,d_Sat,"&gt;="&amp;fSatLo,d_Sat,"&lt;="&amp;fSatHi,d_Prom,"&gt;="&amp;fPromLo,d_Prom,"&lt;="&amp;fPromHi)</f>
        <v>165</v>
      </c>
      <c r="F78" s="32">
        <f>COUNTIFS(d_ID,"&lt;&gt;",d_Sal,"&gt;="&amp;$C78,d_Sal,"&lt;="&amp;$D78,d_Dept,fDept,d_Sat,"&gt;="&amp;fSatLo,d_Sat,"&lt;="&amp;fSatHi,d_Prom,"&gt;="&amp;fPromLo,d_Prom,"&lt;="&amp;fPromHi,d_Att,"Yes")</f>
        <v>28</v>
      </c>
      <c r="G78" s="33">
        <f>IFERROR(F78/E78,0)</f>
        <v>0.16969696969696971</v>
      </c>
    </row>
    <row r="79" spans="2:8" x14ac:dyDescent="0.25">
      <c r="B79" s="25" t="str">
        <f>Settings!P10</f>
        <v>$110k+</v>
      </c>
      <c r="C79" s="25">
        <f>Settings!Q10</f>
        <v>110000</v>
      </c>
      <c r="D79" s="25">
        <f>Settings!R10</f>
        <v>999999</v>
      </c>
      <c r="E79" s="32">
        <f>COUNTIFS(d_ID,"&lt;&gt;",d_Sal,"&gt;="&amp;$C79,d_Sal,"&lt;="&amp;$D79,d_Dept,fDept,d_Sat,"&gt;="&amp;fSatLo,d_Sat,"&lt;="&amp;fSatHi,d_Prom,"&gt;="&amp;fPromLo,d_Prom,"&lt;="&amp;fPromHi)</f>
        <v>115</v>
      </c>
      <c r="F79" s="32">
        <f>COUNTIFS(d_ID,"&lt;&gt;",d_Sal,"&gt;="&amp;$C79,d_Sal,"&lt;="&amp;$D79,d_Dept,fDept,d_Sat,"&gt;="&amp;fSatLo,d_Sat,"&lt;="&amp;fSatHi,d_Prom,"&gt;="&amp;fPromLo,d_Prom,"&lt;="&amp;fPromHi,d_Att,"Yes")</f>
        <v>28</v>
      </c>
      <c r="G79" s="33">
        <f>IFERROR(F79/E79,0)</f>
        <v>0.24347826086956523</v>
      </c>
    </row>
    <row r="82" spans="2:8" x14ac:dyDescent="0.25">
      <c r="B82" s="29" t="s">
        <v>936</v>
      </c>
    </row>
    <row r="83" spans="2:8" x14ac:dyDescent="0.25">
      <c r="B83" s="31" t="s">
        <v>937</v>
      </c>
      <c r="C83" s="31" t="s">
        <v>938</v>
      </c>
      <c r="D83" s="31" t="s">
        <v>48</v>
      </c>
      <c r="E83" s="31" t="s">
        <v>51</v>
      </c>
      <c r="F83" s="31" t="s">
        <v>916</v>
      </c>
      <c r="G83" s="31" t="s">
        <v>52</v>
      </c>
    </row>
    <row r="84" spans="2:8" x14ac:dyDescent="0.25">
      <c r="B84" s="25" t="s">
        <v>939</v>
      </c>
      <c r="C84" s="25" t="s">
        <v>65</v>
      </c>
      <c r="D84" s="32">
        <f>COUNTIFS(d_ID,"&lt;&gt;",d_Dept,fDept,d_Sat,"&gt;="&amp;fSatLo,d_Sat,"&lt;="&amp;fSatHi,d_Prom,"&gt;="&amp;fPromLo,d_Prom,"&lt;="&amp;fPromHi,d_Att,"No")</f>
        <v>654</v>
      </c>
      <c r="E84" s="26">
        <f>IFERROR(AVERAGEIFS(d_Sal,d_ID,"&lt;&gt;",d_Dept,fDept,d_Sat,"&gt;="&amp;fSatLo,d_Sat,"&lt;="&amp;fSatHi,d_Prom,"&gt;="&amp;fPromLo,d_Prom,"&lt;="&amp;fPromHi,d_Att,"No"),0)</f>
        <v>74856.643730886848</v>
      </c>
      <c r="F84" s="35">
        <f>IFERROR(AVERAGEIFS(d_Ten,d_ID,"&lt;&gt;",d_Dept,fDept,d_Sat,"&gt;="&amp;fSatLo,d_Sat,"&lt;="&amp;fSatHi,d_Prom,"&gt;="&amp;fPromLo,d_Prom,"&lt;="&amp;fPromHi,d_Att,"No"),0)</f>
        <v>9.850152905198776</v>
      </c>
      <c r="G84" s="34">
        <f>IFERROR(AVERAGEIFS(d_Sat,d_ID,"&lt;&gt;",d_Dept,fDept,d_Sat,"&gt;="&amp;fSatLo,d_Sat,"&lt;="&amp;fSatHi,d_Prom,"&gt;="&amp;fPromLo,d_Prom,"&lt;="&amp;fPromHi,d_Att,"No"),0)</f>
        <v>2.5061162079510702</v>
      </c>
    </row>
    <row r="85" spans="2:8" x14ac:dyDescent="0.25">
      <c r="B85" s="25" t="s">
        <v>49</v>
      </c>
      <c r="C85" s="25" t="s">
        <v>68</v>
      </c>
      <c r="D85" s="32">
        <f>COUNTIFS(d_ID,"&lt;&gt;",d_Dept,fDept,d_Sat,"&gt;="&amp;fSatLo,d_Sat,"&lt;="&amp;fSatHi,d_Prom,"&gt;="&amp;fPromLo,d_Prom,"&lt;="&amp;fPromHi,d_Att,"Yes")</f>
        <v>146</v>
      </c>
      <c r="E85" s="26">
        <f>IFERROR(AVERAGEIFS(d_Sal,d_ID,"&lt;&gt;",d_Dept,fDept,d_Sat,"&gt;="&amp;fSatLo,d_Sat,"&lt;="&amp;fSatHi,d_Prom,"&gt;="&amp;fPromLo,d_Prom,"&lt;="&amp;fPromHi,d_Att,"Yes"),0)</f>
        <v>75980.773972602736</v>
      </c>
      <c r="F85" s="35">
        <f>IFERROR(AVERAGEIFS(d_Ten,d_ID,"&lt;&gt;",d_Dept,fDept,d_Sat,"&gt;="&amp;fSatLo,d_Sat,"&lt;="&amp;fSatHi,d_Prom,"&gt;="&amp;fPromLo,d_Prom,"&lt;="&amp;fPromHi,d_Att,"Yes"),0)</f>
        <v>9.3972602739726021</v>
      </c>
      <c r="G85" s="34">
        <f>IFERROR(AVERAGEIFS(d_Sat,d_ID,"&lt;&gt;",d_Dept,fDept,d_Sat,"&gt;="&amp;fSatLo,d_Sat,"&lt;="&amp;fSatHi,d_Prom,"&gt;="&amp;fPromLo,d_Prom,"&lt;="&amp;fPromHi,d_Att,"Yes"),0)</f>
        <v>2.452054794520548</v>
      </c>
    </row>
    <row r="88" spans="2:8" x14ac:dyDescent="0.25">
      <c r="B88" s="29" t="s">
        <v>940</v>
      </c>
    </row>
    <row r="89" spans="2:8" x14ac:dyDescent="0.25">
      <c r="B89" s="31" t="s">
        <v>937</v>
      </c>
      <c r="C89" s="31" t="s">
        <v>941</v>
      </c>
      <c r="D89" s="31" t="s">
        <v>48</v>
      </c>
      <c r="E89" s="31" t="s">
        <v>49</v>
      </c>
      <c r="F89" s="31" t="s">
        <v>50</v>
      </c>
      <c r="G89" s="31" t="s">
        <v>51</v>
      </c>
      <c r="H89" s="31" t="s">
        <v>916</v>
      </c>
    </row>
    <row r="90" spans="2:8" x14ac:dyDescent="0.25">
      <c r="B90" s="25" t="s">
        <v>885</v>
      </c>
      <c r="C90" s="25">
        <v>0</v>
      </c>
      <c r="D90" s="32">
        <f>COUNTIFS(d_ID,"&lt;&gt;",d_Prom,$C90,d_Dept,fDept,d_Sat,"&gt;="&amp;fSatLo,d_Sat,"&lt;="&amp;fSatHi)</f>
        <v>539</v>
      </c>
      <c r="E90" s="32">
        <f>COUNTIFS(d_ID,"&lt;&gt;",d_Prom,$C90,d_Dept,fDept,d_Sat,"&gt;="&amp;fSatLo,d_Sat,"&lt;="&amp;fSatHi,d_Att,"Yes")</f>
        <v>104</v>
      </c>
      <c r="F90" s="33">
        <f>IFERROR(E90/D90,0)</f>
        <v>0.19294990723562153</v>
      </c>
      <c r="G90" s="26">
        <f>IFERROR(AVERAGEIFS(d_Sal,d_ID,"&lt;&gt;",d_Prom,$C90,d_Dept,fDept,d_Sat,"&gt;="&amp;fSatLo,d_Sat,"&lt;="&amp;fSatHi),0)</f>
        <v>75706.782931354363</v>
      </c>
      <c r="H90" s="35">
        <f>IFERROR(AVERAGEIFS(d_Ten,d_ID,"&lt;&gt;",d_Prom,$C90,d_Dept,fDept,d_Sat,"&gt;="&amp;fSatLo,d_Sat,"&lt;="&amp;fSatHi),0)</f>
        <v>9.6716141001855291</v>
      </c>
    </row>
    <row r="91" spans="2:8" x14ac:dyDescent="0.25">
      <c r="B91" s="25" t="s">
        <v>884</v>
      </c>
      <c r="C91" s="25">
        <v>1</v>
      </c>
      <c r="D91" s="32">
        <f>COUNTIFS(d_ID,"&lt;&gt;",d_Prom,$C91,d_Dept,fDept,d_Sat,"&gt;="&amp;fSatLo,d_Sat,"&lt;="&amp;fSatHi)</f>
        <v>261</v>
      </c>
      <c r="E91" s="32">
        <f>COUNTIFS(d_ID,"&lt;&gt;",d_Prom,$C91,d_Dept,fDept,d_Sat,"&gt;="&amp;fSatLo,d_Sat,"&lt;="&amp;fSatHi,d_Att,"Yes")</f>
        <v>42</v>
      </c>
      <c r="F91" s="33">
        <f>IFERROR(E91/D91,0)</f>
        <v>0.16091954022988506</v>
      </c>
      <c r="G91" s="26">
        <f>IFERROR(AVERAGEIFS(d_Sal,d_ID,"&lt;&gt;",d_Prom,$C91,d_Dept,fDept,d_Sat,"&gt;="&amp;fSatLo,d_Sat,"&lt;="&amp;fSatHi),0)</f>
        <v>73729.816091954024</v>
      </c>
      <c r="H91" s="35">
        <f>IFERROR(AVERAGEIFS(d_Ten,d_ID,"&lt;&gt;",d_Prom,$C91,d_Dept,fDept,d_Sat,"&gt;="&amp;fSatLo,d_Sat,"&lt;="&amp;fSatHi),0)</f>
        <v>9.9655172413793096</v>
      </c>
    </row>
    <row r="95" spans="2:8" x14ac:dyDescent="0.25">
      <c r="B95" s="29" t="s">
        <v>942</v>
      </c>
    </row>
    <row r="96" spans="2:8" x14ac:dyDescent="0.25">
      <c r="B96" s="31" t="s">
        <v>943</v>
      </c>
      <c r="C96" s="31">
        <f>Settings!D7</f>
        <v>1</v>
      </c>
      <c r="D96" s="31">
        <f>Settings!D8</f>
        <v>2</v>
      </c>
      <c r="E96" s="31">
        <f>Settings!D9</f>
        <v>3</v>
      </c>
      <c r="F96" s="31">
        <f>Settings!D10</f>
        <v>4</v>
      </c>
      <c r="G96" s="31" t="s">
        <v>27</v>
      </c>
    </row>
    <row r="97" spans="2:7" x14ac:dyDescent="0.25">
      <c r="B97" s="25" t="str">
        <f t="shared" ref="B97:B104" si="19">B25</f>
        <v>Finance</v>
      </c>
      <c r="C97" s="33">
        <f t="shared" ref="C97:F104" si="20">IF($B97="","",IFERROR(COUNTIFS(d_ID,"&lt;&gt;",d_Dept,$B97,d_Sat,C$96,d_Prom,"&gt;="&amp;fPromLo,d_Prom,"&lt;="&amp;fPromHi,d_Att,"Yes")/COUNTIFS(d_ID,"&lt;&gt;",d_Dept,$B97,d_Sat,C$96,d_Prom,"&gt;="&amp;fPromLo,d_Prom,"&lt;="&amp;fPromHi),""))</f>
        <v>0.29166666666666669</v>
      </c>
      <c r="D97" s="33">
        <f t="shared" si="20"/>
        <v>0.32258064516129031</v>
      </c>
      <c r="E97" s="33">
        <f t="shared" si="20"/>
        <v>0.16279069767441862</v>
      </c>
      <c r="F97" s="33">
        <f t="shared" si="20"/>
        <v>0.16666666666666666</v>
      </c>
      <c r="G97" s="33">
        <f t="shared" ref="G97:G104" si="21">IF($B97="","",IFERROR(COUNTIFS(d_ID,"&lt;&gt;",d_Dept,$B97,d_Prom,"&gt;="&amp;fPromLo,d_Prom,"&lt;="&amp;fPromHi,d_Att,"Yes")/COUNTIFS(d_ID,"&lt;&gt;",d_Dept,$B97,d_Prom,"&gt;="&amp;fPromLo,d_Prom,"&lt;="&amp;fPromHi),""))</f>
        <v>0.22941176470588234</v>
      </c>
    </row>
    <row r="98" spans="2:7" x14ac:dyDescent="0.25">
      <c r="B98" s="25" t="str">
        <f t="shared" si="19"/>
        <v>HR</v>
      </c>
      <c r="C98" s="33">
        <f t="shared" si="20"/>
        <v>0.19047619047619047</v>
      </c>
      <c r="D98" s="33">
        <f t="shared" si="20"/>
        <v>0.23255813953488372</v>
      </c>
      <c r="E98" s="33">
        <f t="shared" si="20"/>
        <v>0.17499999999999999</v>
      </c>
      <c r="F98" s="33">
        <f t="shared" si="20"/>
        <v>0.12244897959183673</v>
      </c>
      <c r="G98" s="33">
        <f t="shared" si="21"/>
        <v>0.17816091954022989</v>
      </c>
    </row>
    <row r="99" spans="2:7" x14ac:dyDescent="0.25">
      <c r="B99" s="25" t="str">
        <f t="shared" si="19"/>
        <v>IT</v>
      </c>
      <c r="C99" s="33">
        <f t="shared" si="20"/>
        <v>0.10869565217391304</v>
      </c>
      <c r="D99" s="33">
        <f t="shared" si="20"/>
        <v>0</v>
      </c>
      <c r="E99" s="33">
        <f t="shared" si="20"/>
        <v>0.29411764705882354</v>
      </c>
      <c r="F99" s="33">
        <f t="shared" si="20"/>
        <v>0.13636363636363635</v>
      </c>
      <c r="G99" s="33">
        <f t="shared" si="21"/>
        <v>0.13207547169811321</v>
      </c>
    </row>
    <row r="100" spans="2:7" x14ac:dyDescent="0.25">
      <c r="B100" s="25" t="str">
        <f t="shared" si="19"/>
        <v>Operations</v>
      </c>
      <c r="C100" s="33">
        <f t="shared" si="20"/>
        <v>0.19047619047619047</v>
      </c>
      <c r="D100" s="33">
        <f t="shared" si="20"/>
        <v>0.14705882352941177</v>
      </c>
      <c r="E100" s="33">
        <f t="shared" si="20"/>
        <v>0.14705882352941177</v>
      </c>
      <c r="F100" s="33">
        <f t="shared" si="20"/>
        <v>0.15625</v>
      </c>
      <c r="G100" s="33">
        <f t="shared" si="21"/>
        <v>0.1619718309859155</v>
      </c>
    </row>
    <row r="101" spans="2:7" x14ac:dyDescent="0.25">
      <c r="B101" s="25" t="str">
        <f t="shared" si="19"/>
        <v>Sales</v>
      </c>
      <c r="C101" s="33">
        <f t="shared" si="20"/>
        <v>0.18421052631578946</v>
      </c>
      <c r="D101" s="33">
        <f t="shared" si="20"/>
        <v>0.15384615384615385</v>
      </c>
      <c r="E101" s="33">
        <f t="shared" si="20"/>
        <v>0.22500000000000001</v>
      </c>
      <c r="F101" s="33">
        <f t="shared" si="20"/>
        <v>0.26315789473684209</v>
      </c>
      <c r="G101" s="33">
        <f t="shared" si="21"/>
        <v>0.20645161290322581</v>
      </c>
    </row>
    <row r="102" spans="2:7" x14ac:dyDescent="0.25">
      <c r="B102" s="25" t="str">
        <f t="shared" si="19"/>
        <v/>
      </c>
      <c r="C102" s="33" t="str">
        <f t="shared" si="20"/>
        <v/>
      </c>
      <c r="D102" s="33" t="str">
        <f t="shared" si="20"/>
        <v/>
      </c>
      <c r="E102" s="33" t="str">
        <f t="shared" si="20"/>
        <v/>
      </c>
      <c r="F102" s="33" t="str">
        <f t="shared" si="20"/>
        <v/>
      </c>
      <c r="G102" s="33" t="str">
        <f t="shared" si="21"/>
        <v/>
      </c>
    </row>
    <row r="103" spans="2:7" x14ac:dyDescent="0.25">
      <c r="B103" s="25" t="str">
        <f t="shared" si="19"/>
        <v/>
      </c>
      <c r="C103" s="33" t="str">
        <f t="shared" si="20"/>
        <v/>
      </c>
      <c r="D103" s="33" t="str">
        <f t="shared" si="20"/>
        <v/>
      </c>
      <c r="E103" s="33" t="str">
        <f t="shared" si="20"/>
        <v/>
      </c>
      <c r="F103" s="33" t="str">
        <f t="shared" si="20"/>
        <v/>
      </c>
      <c r="G103" s="33" t="str">
        <f t="shared" si="21"/>
        <v/>
      </c>
    </row>
    <row r="104" spans="2:7" x14ac:dyDescent="0.25">
      <c r="B104" s="25" t="str">
        <f t="shared" si="19"/>
        <v/>
      </c>
      <c r="C104" s="33" t="str">
        <f t="shared" si="20"/>
        <v/>
      </c>
      <c r="D104" s="33" t="str">
        <f t="shared" si="20"/>
        <v/>
      </c>
      <c r="E104" s="33" t="str">
        <f t="shared" si="20"/>
        <v/>
      </c>
      <c r="F104" s="33" t="str">
        <f t="shared" si="20"/>
        <v/>
      </c>
      <c r="G104" s="33" t="str">
        <f t="shared" si="21"/>
        <v/>
      </c>
    </row>
    <row r="107" spans="2:7" x14ac:dyDescent="0.25">
      <c r="B107" s="29" t="s">
        <v>944</v>
      </c>
    </row>
    <row r="108" spans="2:7" x14ac:dyDescent="0.25">
      <c r="B108" s="25" t="str">
        <f>IF(D12=0,"No employees match the current filters — widen your selection.","Attrition is "&amp;TEXT(D14,"0.0%")&amp;" ("&amp;TEXT(D13,"#,##0")&amp;" of "&amp;TEXT(D12,"#,##0")&amp;" employees)"&amp;IF(C8=1,", "&amp;TEXT(ABS(D14-C14)*100,"0.0")&amp;" pp "&amp;IF(D14&gt;=C14,"above","below")&amp;" the company average of "&amp;TEXT(C14,"0.0%"),"")&amp;IF(D14&gt;TargetAttr,", above the "&amp;TEXT(TargetAttr,"0%")&amp;" target.",", within the "&amp;TEXT(TargetAttr,"0%")&amp;" target."))</f>
        <v>Attrition is 18.3% (146 of 800 employees), above the 15% target.</v>
      </c>
    </row>
    <row r="109" spans="2:7" x14ac:dyDescent="0.25">
      <c r="B109" s="25" t="str">
        <f>IF(OR(D12=0,C34&lt;2),"Department ranking needs at least two departments in scope.","Highest-attrition department: "&amp;D38&amp;" ("&amp;TEXT(E38,"0.0%")&amp;"); lowest: "&amp;INDEX(D38:D45,C34)&amp;" ("&amp;TEXT(INDEX(E38:E45,C34),"0.0%")&amp;").")</f>
        <v>Highest-attrition department: Finance (22.9%); lowest: IT (13.2%).</v>
      </c>
    </row>
    <row r="110" spans="2:7" x14ac:dyDescent="0.25">
      <c r="B110" s="25" t="str">
        <f>IF(OR(C50=0,C53=0),"Not enough employees across satisfaction levels for a comparison.","Employees rated "&amp;B50&amp;" for job satisfaction leave at "&amp;TEXT(E50,"0.0%")&amp;" vs "&amp;TEXT(E53,"0.0%")&amp;" for those rated "&amp;B53&amp;IF(E50-E53&gt;=0.05," — lower satisfaction is linked to higher attrition.",IF(E50&gt;E53," — a modest gap, not a strong driver of attrition."," — attrition does not rise as satisfaction falls.")))</f>
        <v>Employees rated 1 for job satisfaction leave at 19.4% vs 16.6% for those rated 4 — a modest gap, not a strong driver of attrition.</v>
      </c>
    </row>
    <row r="111" spans="2:7" x14ac:dyDescent="0.25">
      <c r="B111" s="25" t="str">
        <f>IF(OR(D84=0,D85=0),"Salary comparison needs both stayers and leavers in scope.","Leavers earn on average "&amp;TEXT(E85,"$#,##0")&amp;" vs "&amp;TEXT(E84,"$#,##0")&amp;" for stayers ("&amp;TEXT(ABS(E85/E84-1),"0.0%")&amp;IF(E85&lt;E84," lower)."," higher) — pay alone does not explain attrition."))</f>
        <v>Leavers earn on average $75,981 vs $74,857 for stayers (1.5% higher) — pay alone does not explain attrition.</v>
      </c>
    </row>
    <row r="112" spans="2:7" x14ac:dyDescent="0.25">
      <c r="B112" s="25" t="str">
        <f>IF(OR(D90=0,D91=0),"Promotion comparison needs both promoted and non-promoted staff in scope.","Employees promoted in the last 5 years leave at "&amp;TEXT(F91,"0.0%")&amp;" vs "&amp;TEXT(F90,"0.0%")&amp;" for those not promoted"&amp;IF(F91&lt;F90," — career progression supports retention."," — promotions are not reducing attrition on their own."))</f>
        <v>Employees promoted in the last 5 years leave at 16.1% vs 19.3% for those not promoted — career progression supports retention.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C11"/>
  <sheetViews>
    <sheetView showGridLines="0" workbookViewId="0">
      <selection activeCell="C8" sqref="B4:C11"/>
    </sheetView>
  </sheetViews>
  <sheetFormatPr defaultRowHeight="15" x14ac:dyDescent="0.25"/>
  <cols>
    <col min="1" max="1" width="2" customWidth="1"/>
    <col min="2" max="2" width="44.42578125" customWidth="1"/>
    <col min="3" max="3" width="110" customWidth="1"/>
  </cols>
  <sheetData>
    <row r="2" spans="2:3" ht="23.25" x14ac:dyDescent="0.35">
      <c r="B2" s="11" t="s">
        <v>945</v>
      </c>
    </row>
    <row r="4" spans="2:3" ht="45.95" customHeight="1" x14ac:dyDescent="0.25">
      <c r="B4" s="27" t="s">
        <v>946</v>
      </c>
      <c r="C4" s="28" t="s">
        <v>947</v>
      </c>
    </row>
    <row r="5" spans="2:3" ht="45.95" customHeight="1" x14ac:dyDescent="0.25">
      <c r="B5" s="27" t="s">
        <v>948</v>
      </c>
      <c r="C5" s="28" t="s">
        <v>949</v>
      </c>
    </row>
    <row r="6" spans="2:3" ht="45.95" customHeight="1" x14ac:dyDescent="0.25">
      <c r="B6" s="27" t="s">
        <v>950</v>
      </c>
      <c r="C6" s="28" t="s">
        <v>951</v>
      </c>
    </row>
    <row r="7" spans="2:3" ht="32.1" customHeight="1" x14ac:dyDescent="0.25">
      <c r="B7" s="27" t="s">
        <v>952</v>
      </c>
      <c r="C7" s="28" t="s">
        <v>953</v>
      </c>
    </row>
    <row r="8" spans="2:3" ht="45.95" customHeight="1" x14ac:dyDescent="0.25">
      <c r="B8" s="27" t="s">
        <v>954</v>
      </c>
      <c r="C8" s="28" t="s">
        <v>955</v>
      </c>
    </row>
    <row r="9" spans="2:3" ht="45.95" customHeight="1" x14ac:dyDescent="0.25">
      <c r="B9" s="27" t="s">
        <v>956</v>
      </c>
      <c r="C9" s="28" t="s">
        <v>957</v>
      </c>
    </row>
    <row r="10" spans="2:3" ht="32.1" customHeight="1" x14ac:dyDescent="0.25">
      <c r="B10" s="27" t="s">
        <v>958</v>
      </c>
      <c r="C10" s="28" t="s">
        <v>959</v>
      </c>
    </row>
    <row r="11" spans="2:3" ht="45.95" customHeight="1" x14ac:dyDescent="0.25">
      <c r="B11" s="27" t="s">
        <v>960</v>
      </c>
      <c r="C11" s="28" t="s">
        <v>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Dashboard</vt:lpstr>
      <vt:lpstr>Data</vt:lpstr>
      <vt:lpstr>Settings</vt:lpstr>
      <vt:lpstr>Calc</vt:lpstr>
      <vt:lpstr>Guide</vt:lpstr>
      <vt:lpstr>d_Age</vt:lpstr>
      <vt:lpstr>d_Att</vt:lpstr>
      <vt:lpstr>d_Dept</vt:lpstr>
      <vt:lpstr>d_ID</vt:lpstr>
      <vt:lpstr>d_Prom</vt:lpstr>
      <vt:lpstr>d_Sal</vt:lpstr>
      <vt:lpstr>d_Sat</vt:lpstr>
      <vt:lpstr>d_Ten</vt:lpstr>
      <vt:lpstr>fDept</vt:lpstr>
      <vt:lpstr>FiltersOn</vt:lpstr>
      <vt:lpstr>fPromHi</vt:lpstr>
      <vt:lpstr>fPromLo</vt:lpstr>
      <vt:lpstr>fSatHi</vt:lpstr>
      <vt:lpstr>fSatLo</vt:lpstr>
      <vt:lpstr>Dashboard!Print_Area</vt:lpstr>
      <vt:lpstr>PromList</vt:lpstr>
      <vt:lpstr>SatLevels</vt:lpstr>
      <vt:lpstr>SatList</vt:lpstr>
      <vt:lpstr>TargetAttr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Stanislauce</cp:lastModifiedBy>
  <dcterms:created xsi:type="dcterms:W3CDTF">2026-10-26T09:39:28Z</dcterms:created>
  <dcterms:modified xsi:type="dcterms:W3CDTF">2026-10-26T10:34:03Z</dcterms:modified>
</cp:coreProperties>
</file>